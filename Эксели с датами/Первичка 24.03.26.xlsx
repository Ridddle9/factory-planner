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ljo\OneDrive\Рабочий стол\"/>
    </mc:Choice>
  </mc:AlternateContent>
  <xr:revisionPtr revIDLastSave="0" documentId="13_ncr:1_{F4D2D0B1-C5B7-42DD-94E5-595ADA565D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externalReferences>
    <externalReference r:id="rId2"/>
  </externalReferences>
  <definedNames>
    <definedName name="_xlnm._FilterDatabase" localSheetId="0" hidden="1">Лист_1!$B$2:$X$160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3" i="1" a="1"/>
  <c r="Q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<sst xmlns="http://schemas.openxmlformats.org/spreadsheetml/2006/main" count="1581" uniqueCount="506">
  <si>
    <t>Вид номенклатуры (для расчета графика производства)</t>
  </si>
  <si>
    <t>Код</t>
  </si>
  <si>
    <t>Номенклатура</t>
  </si>
  <si>
    <t>Клиент</t>
  </si>
  <si>
    <t>Номер</t>
  </si>
  <si>
    <t>Заказ</t>
  </si>
  <si>
    <t>График оплаты</t>
  </si>
  <si>
    <t>Менеджер</t>
  </si>
  <si>
    <t>Дата заказа</t>
  </si>
  <si>
    <t>Дата согласования</t>
  </si>
  <si>
    <t>Остаток на складе</t>
  </si>
  <si>
    <t>В резерве</t>
  </si>
  <si>
    <t>К обеспечению</t>
  </si>
  <si>
    <t>Доступно</t>
  </si>
  <si>
    <t>В производстве</t>
  </si>
  <si>
    <t>26.03.2026</t>
  </si>
  <si>
    <t>27.03.2026</t>
  </si>
  <si>
    <t>30.03.2026</t>
  </si>
  <si>
    <t>31.03.2026</t>
  </si>
  <si>
    <t>01.04.2026</t>
  </si>
  <si>
    <t>02.04.2026</t>
  </si>
  <si>
    <t>03.04.2026</t>
  </si>
  <si>
    <t>БЛОКИ АВАРИЙНОГО ПИТАНИЯ (100 max)</t>
  </si>
  <si>
    <t>ЦБ000017576</t>
  </si>
  <si>
    <t>БАП комбинированный выносной CSVT D-CC 1h-36W-350mA-G-03-E-1</t>
  </si>
  <si>
    <t>ТД ЭЛЕКТРОТЕХМОНТАЖ, АО</t>
  </si>
  <si>
    <t>00ЦБ-002640</t>
  </si>
  <si>
    <t>Заказ клиента 00ЦБ-002640 от 20.03.2026 16:51:49</t>
  </si>
  <si>
    <t>Рассрочка 60 к.дней</t>
  </si>
  <si>
    <t>Максимов А. И.</t>
  </si>
  <si>
    <t>20.03.2026 16:51:49</t>
  </si>
  <si>
    <t>23.03.2026</t>
  </si>
  <si>
    <t>ТрансИнжиниринг, ООО</t>
  </si>
  <si>
    <t>00ЦБ-001835</t>
  </si>
  <si>
    <t>Заказ клиента 00ЦБ-001835 от 27.02.2026 13:30:30</t>
  </si>
  <si>
    <t>Предоплата 100% до передачи в производство</t>
  </si>
  <si>
    <t>Егиазаров А</t>
  </si>
  <si>
    <t>27.02.2026 13:30:30</t>
  </si>
  <si>
    <t>05.03.2026</t>
  </si>
  <si>
    <t>ЦБ000017577</t>
  </si>
  <si>
    <t>БАП комбинированный выносной CSVT D-CC 3h-36W-350mA-G-03-E-1</t>
  </si>
  <si>
    <t>ЛИНИЯ СВЕТА, ООО</t>
  </si>
  <si>
    <t>00ЦБ-001636</t>
  </si>
  <si>
    <t>Заказ клиента 00ЦБ-001636 от 24.02.2026 9:32:25</t>
  </si>
  <si>
    <t>Предоплата 100%</t>
  </si>
  <si>
    <t>Дивавина О.Д.</t>
  </si>
  <si>
    <t>24.02.2026 9:32:25</t>
  </si>
  <si>
    <t>27.02.2026</t>
  </si>
  <si>
    <t>КОМПЛЕКТЫ ДЛЯ СВЕТИЛЬНИКОВ (500 max)</t>
  </si>
  <si>
    <t>ЛЮМ-СВЕТ, ООО</t>
  </si>
  <si>
    <t>00ЦБ-002401</t>
  </si>
  <si>
    <t>Заказ клиента 00ЦБ-002401 от 17.03.2026 10:42:41</t>
  </si>
  <si>
    <t>Юрина Инна</t>
  </si>
  <si>
    <t>17.03.2026 10:42:41</t>
  </si>
  <si>
    <t>20.03.2026</t>
  </si>
  <si>
    <t>Степанов Б.С.</t>
  </si>
  <si>
    <t>17.03.2026</t>
  </si>
  <si>
    <t>ЦБ-00012388</t>
  </si>
  <si>
    <t>Пластина для ЛПП Слим Терра</t>
  </si>
  <si>
    <t>ТЕРРА ТД, ООО</t>
  </si>
  <si>
    <t>00ЦБ-002634</t>
  </si>
  <si>
    <t>Заказ клиента 00ЦБ-002634 от 20.03.2026 15:26:49</t>
  </si>
  <si>
    <t>20.03.2026 15:26:49</t>
  </si>
  <si>
    <t>00ЦБ-002713</t>
  </si>
  <si>
    <t>Заказ клиента 00ЦБ-002713 от 23.03.2026 16:02:38</t>
  </si>
  <si>
    <t>23.03.2026 16:02:38</t>
  </si>
  <si>
    <t>24.03.2026</t>
  </si>
  <si>
    <t>ЦБ-00012391</t>
  </si>
  <si>
    <t>Пластина для ЛПП Айсберг Терра</t>
  </si>
  <si>
    <t>11.03.2026</t>
  </si>
  <si>
    <t>Предоплата 30% до передачи в производство, до отгрузки 70%</t>
  </si>
  <si>
    <t>18.03.2026</t>
  </si>
  <si>
    <t>00ЦБ-002578</t>
  </si>
  <si>
    <t>Заказ клиента 00ЦБ-002578 от 19.03.2026 15:29:00</t>
  </si>
  <si>
    <t>19.03.2026 15:29:00</t>
  </si>
  <si>
    <t>00ЦБ-002698</t>
  </si>
  <si>
    <t>Заказ клиента 00ЦБ-002698 от 23.03.2026 14:01:53</t>
  </si>
  <si>
    <t>23.03.2026 14:01:53</t>
  </si>
  <si>
    <t>Куртеев Н.А.</t>
  </si>
  <si>
    <t>12.03.2026</t>
  </si>
  <si>
    <t>Гудилин К.И.</t>
  </si>
  <si>
    <t>ЦБ000012440</t>
  </si>
  <si>
    <t>CSVT 2 пружины SPRING-VOLGA /FLORA</t>
  </si>
  <si>
    <t>00ЦБ-002576</t>
  </si>
  <si>
    <t>Заказ клиента 00ЦБ-002576 от 19.03.2026 15:17:13</t>
  </si>
  <si>
    <t>Потапова Елена</t>
  </si>
  <si>
    <t>19.03.2026 15:17:13</t>
  </si>
  <si>
    <t>19.03.2026</t>
  </si>
  <si>
    <t>00ЦБ-002597</t>
  </si>
  <si>
    <t>Заказ клиента 00ЦБ-002597 от 20.03.2026 9:59:51</t>
  </si>
  <si>
    <t>Яворик Ю.В.</t>
  </si>
  <si>
    <t>20.03.2026 9:59:51</t>
  </si>
  <si>
    <t>КОРПУСА SLIM (2000 max)</t>
  </si>
  <si>
    <t>ЦБ-00012270</t>
  </si>
  <si>
    <t>Корпус светильника Slim/TRANSPARENT (IP65), ГУЛОВ</t>
  </si>
  <si>
    <t>Гулов М.В., ИП</t>
  </si>
  <si>
    <t>00ЦБ-002688</t>
  </si>
  <si>
    <t>Заказ клиента 00ЦБ-002688 от 23.03.2026 12:50:57</t>
  </si>
  <si>
    <t>23.03.2026 12:50:57</t>
  </si>
  <si>
    <t>ЦБ-00012299</t>
  </si>
  <si>
    <t>Корпус светильника Slim/MILKY (IP65), АЛБ</t>
  </si>
  <si>
    <t>АЛБ, ООО</t>
  </si>
  <si>
    <t>00ЦБ-002281</t>
  </si>
  <si>
    <t>Заказ клиента 00ЦБ-002281 от 13.03.2026 9:06:05</t>
  </si>
  <si>
    <t>13.03.2026 9:06:05</t>
  </si>
  <si>
    <t>22.03.2026</t>
  </si>
  <si>
    <t>КОРПУСА АЙСБЕРГ (2000 max)</t>
  </si>
  <si>
    <t>РУ000006824</t>
  </si>
  <si>
    <t>Плафон 2х36 Айсберг/TRANSPARENT (ГП)</t>
  </si>
  <si>
    <t>00ЦБ-002606</t>
  </si>
  <si>
    <t>Заказ клиента 00ЦБ-002606 от 20.03.2026 10:55:41</t>
  </si>
  <si>
    <t>Кузнецова С.</t>
  </si>
  <si>
    <t>20.03.2026 10:55:41</t>
  </si>
  <si>
    <t>ЦБ-00012238</t>
  </si>
  <si>
    <t>Корпус светильника Айсберг/MILKY (IP65), ГАЗСНАБ</t>
  </si>
  <si>
    <t>ГАЗСНАБ, ООО</t>
  </si>
  <si>
    <t>00ЦБ-001820</t>
  </si>
  <si>
    <t>Заказ клиента 00ЦБ-001820 от 27.02.2026 11:29:34</t>
  </si>
  <si>
    <t>27.02.2026 11:29:34</t>
  </si>
  <si>
    <t>ЦБ000019348</t>
  </si>
  <si>
    <t>Корпус светильника Айсберг/MILKY (IP65) без мет пластины</t>
  </si>
  <si>
    <t>ПАНЕЛИ KROKUS (max 200)</t>
  </si>
  <si>
    <t>ЦБ-00009132</t>
  </si>
  <si>
    <t>CSVT KROKUS-PANEL 34 588x588х10 CRI80 3000 microprisma-opal IP54/IP20 чёрный 2800</t>
  </si>
  <si>
    <t>00ЦБ-002421</t>
  </si>
  <si>
    <t>Заказ клиента 00ЦБ-002421 от 17.03.2026 12:55:17</t>
  </si>
  <si>
    <t>17.03.2026 12:55:17</t>
  </si>
  <si>
    <t>ЦБ-00013422</t>
  </si>
  <si>
    <t>CSVT KROKUS-PANEL 34 600х600х22 CRI80 5000 opal-sand IP54/IP40 белый E</t>
  </si>
  <si>
    <t>ЕВРОСТИЛЬ, ООО</t>
  </si>
  <si>
    <t>00ЦБ-002447</t>
  </si>
  <si>
    <t>Заказ клиента 00ЦБ-002447 от 18.03.2026 8:24:22</t>
  </si>
  <si>
    <t>Вольная Т</t>
  </si>
  <si>
    <t>18.03.2026 8:24:22</t>
  </si>
  <si>
    <t>ЦБ000015157</t>
  </si>
  <si>
    <t>CSVT KROKUS-PANEL 34 595x595х10 CRI80 5000 opal-sand IP54/IP20 белый</t>
  </si>
  <si>
    <t>РС, ООО (РУССКИЙ СВЕТ, ООО до 08/12/22 ЭЛЕКТРОСИСТЕМ, ООО)</t>
  </si>
  <si>
    <t>00ЦБ-002567</t>
  </si>
  <si>
    <t>Заказ клиента 00ЦБ-002567 от 19.03.2026 14:16:57</t>
  </si>
  <si>
    <t>Рассрочка 45 к.дней</t>
  </si>
  <si>
    <t>_ФСК РС</t>
  </si>
  <si>
    <t>19.03.2026 14:16:57</t>
  </si>
  <si>
    <t>ЦБ000015161</t>
  </si>
  <si>
    <t>CSVT KROKUS-PANEL 34 611x611х10 CRI80 5000 opal-sand IP54/IP20 белый</t>
  </si>
  <si>
    <t>00ЦБ-002673</t>
  </si>
  <si>
    <t>Заказ клиента 00ЦБ-002673 от 23.03.2026 12:18:01</t>
  </si>
  <si>
    <t>23.03.2026 12:18:01</t>
  </si>
  <si>
    <t>ЦБ000015163</t>
  </si>
  <si>
    <t>CSVT KROKUS-PANEL 34 595x595х10 CRI80 6500 opal-sand IP54/IP20 белый</t>
  </si>
  <si>
    <t>СВЕТКОНСАЛТ, ООО</t>
  </si>
  <si>
    <t>00ЦБ-002206</t>
  </si>
  <si>
    <t>Заказ клиента 00ЦБ-002206 от 11.03.2026 16:20:29</t>
  </si>
  <si>
    <t>11.03.2026 16:20:29</t>
  </si>
  <si>
    <t>ЦБ000019312</t>
  </si>
  <si>
    <t>CSVT KROKUS-PANEL 34 600x600х22 CRI80 4000 opal-sand IP54/IP20 белый</t>
  </si>
  <si>
    <t>ПРО-ПОТОЛКИ, ООО</t>
  </si>
  <si>
    <t>00ЦБ-002444</t>
  </si>
  <si>
    <t>Заказ клиента 00ЦБ-002444 от 17.03.2026 17:20:01</t>
  </si>
  <si>
    <t>Курашкина Н.А.</t>
  </si>
  <si>
    <t>17.03.2026 17:20:01</t>
  </si>
  <si>
    <t>00ЦБ-002402</t>
  </si>
  <si>
    <t>Заказ клиента 00ЦБ-002402 от 17.03.2026 10:45:14</t>
  </si>
  <si>
    <t>17.03.2026 10:45:14</t>
  </si>
  <si>
    <t>ПАНЕЛИ SPARTA (200 max)</t>
  </si>
  <si>
    <t>ЦБ000012754</t>
  </si>
  <si>
    <t>CSVT SPARTA-PANEL 34 595x595х18 CRI80 5000 opal-sand IP40 белый</t>
  </si>
  <si>
    <t>Смарт Лампс, ООО</t>
  </si>
  <si>
    <t>00ЦБ-002491</t>
  </si>
  <si>
    <t>Заказ клиента 00ЦБ-002491 от 18.03.2026 13:34:11</t>
  </si>
  <si>
    <t>Радзивилюк В.Ф.</t>
  </si>
  <si>
    <t>18.03.2026 13:34:11</t>
  </si>
  <si>
    <t>ЦБ000018778</t>
  </si>
  <si>
    <t>CSVT SPARTA-PANEL-MULTI 34 595x595х18 CRI90 4000 opal-sand IP40 белый</t>
  </si>
  <si>
    <t>СВЕТИЛЬНИКИ AVRORA-40 (400 max)</t>
  </si>
  <si>
    <t>ЦБ-00010893</t>
  </si>
  <si>
    <t>CSVT AVRORA-40-A 28 595х595х40 CRI80 4000 opal-sand IP20 белый армстронг с БАП на 3 часа LUXDATOR</t>
  </si>
  <si>
    <t>00ЦБ-002431</t>
  </si>
  <si>
    <t>Заказ клиента 00ЦБ-002431 от 17.03.2026 15:49:35</t>
  </si>
  <si>
    <t>17.03.2026 15:49:35</t>
  </si>
  <si>
    <t>ЦБ-00013767</t>
  </si>
  <si>
    <t>KANT PRO G 35 595х595х40 CRI91 4000 opal-sand IP20 белый NATURAL COLOR</t>
  </si>
  <si>
    <t>МосЭнергоСервис, ООО</t>
  </si>
  <si>
    <t>00ЦБ-002264</t>
  </si>
  <si>
    <t>Заказ клиента 00ЦБ-002264 от 12.03.2026 15:46:43</t>
  </si>
  <si>
    <t>Рассрочка 15 р.дней</t>
  </si>
  <si>
    <t>12.03.2026 15:46:43</t>
  </si>
  <si>
    <t>СВЕТИЛЬНИКИ AVRORA-90 (IP20 550 max)</t>
  </si>
  <si>
    <t>РУ000003200</t>
  </si>
  <si>
    <t>CSVT AVRORA 32 595x595х25 CRI80 4000 opal-sand IP20 белый армстронг</t>
  </si>
  <si>
    <t>00ЦБ-002530</t>
  </si>
  <si>
    <t>Заказ клиента 00ЦБ-002530 от 19.03.2026 8:56:26</t>
  </si>
  <si>
    <t>19.03.2026 8:56:26</t>
  </si>
  <si>
    <t>ТЕХДИЗАЙН, ООО (г.Москва)</t>
  </si>
  <si>
    <t>00ЦБ-002580</t>
  </si>
  <si>
    <t>Заказ клиента 00ЦБ-002580 от 19.03.2026 16:04:48</t>
  </si>
  <si>
    <t>19.03.2026 16:04:48</t>
  </si>
  <si>
    <t>ЦБ-00004051</t>
  </si>
  <si>
    <t>CSVT AVRORA 24 595х595х25 CRI90 4000 opal-sand IP20 белый армстронг ESCO-RS24</t>
  </si>
  <si>
    <t>00ЦБ-002574</t>
  </si>
  <si>
    <t>Заказ клиента 00ЦБ-002574 от 19.03.2026 14:53:37</t>
  </si>
  <si>
    <t>19.03.2026 14:53:37</t>
  </si>
  <si>
    <t>ЦБ-00011322</t>
  </si>
  <si>
    <t>Светильник ДВО 1004 СТАНДАРТ PRO 30Вт 4000К Ra&gt;90 оп. IEK</t>
  </si>
  <si>
    <t>ИЭК ХОЛДИНГ, ПАО [ИЭК ХОЛДИНГ, АО до 10/03/26]</t>
  </si>
  <si>
    <t>00ЦБ-002108</t>
  </si>
  <si>
    <t>Заказ клиента 00ЦБ-002108 от 06.03.2026 14:10:14</t>
  </si>
  <si>
    <t>Предоплата 50%, рассрочка 50% (30 к.д.)</t>
  </si>
  <si>
    <t>06.03.2026 14:10:14</t>
  </si>
  <si>
    <t>ЦБ-00012466</t>
  </si>
  <si>
    <t>Набор для сборки светильника RVE, номер 10</t>
  </si>
  <si>
    <t>РВЭ, ООО (РУСВИТАЛЭЛЕКТРО)</t>
  </si>
  <si>
    <t>00ЦБ-002521</t>
  </si>
  <si>
    <t>Заказ клиента 00ЦБ-002521 от 18.03.2026 16:42:13</t>
  </si>
  <si>
    <t>Волков С.В.</t>
  </si>
  <si>
    <t>18.03.2026 16:42:13</t>
  </si>
  <si>
    <t>00ЦБ-002472</t>
  </si>
  <si>
    <t>Заказ клиента 00ЦБ-002472 от 18.03.2026 11:49:22</t>
  </si>
  <si>
    <t>18.03.2026 11:49:22</t>
  </si>
  <si>
    <t>ЦБ-00012467</t>
  </si>
  <si>
    <t>Набор для сборки светильника RVE, номер 11</t>
  </si>
  <si>
    <t>00ЦБ-002468</t>
  </si>
  <si>
    <t>Заказ клиента 00ЦБ-002468 от 18.03.2026 11:22:48</t>
  </si>
  <si>
    <t>18.03.2026 11:22:48</t>
  </si>
  <si>
    <t>ЦБ-00013201</t>
  </si>
  <si>
    <t>Набор для сборки светильника RVE, номер 45</t>
  </si>
  <si>
    <t>00ЦБ-001371</t>
  </si>
  <si>
    <t>Заказ клиента 00ЦБ-001371 от 16.02.2026 10:07:27</t>
  </si>
  <si>
    <t>16.02.2026 10:07:27</t>
  </si>
  <si>
    <t>26.02.2026</t>
  </si>
  <si>
    <t>00ЦБ-001732</t>
  </si>
  <si>
    <t>Заказ клиента 00ЦБ-001732 от 25.02.2026 14:20:13</t>
  </si>
  <si>
    <t>25.02.2026 14:20:13</t>
  </si>
  <si>
    <t>00ЦБ-001368</t>
  </si>
  <si>
    <t>Заказ клиента 00ЦБ-001368 от 16.02.2026 9:45:47</t>
  </si>
  <si>
    <t>16.02.2026 9:45:47</t>
  </si>
  <si>
    <t>00ЦБ-002466</t>
  </si>
  <si>
    <t>Заказ клиента 00ЦБ-002466 от 18.03.2026 11:05:18</t>
  </si>
  <si>
    <t>18.03.2026 11:05:18</t>
  </si>
  <si>
    <t>00ЦБ-001373</t>
  </si>
  <si>
    <t>Заказ клиента 00ЦБ-001373 от 16.02.2026 10:33:11</t>
  </si>
  <si>
    <t>16.02.2026 10:33:11</t>
  </si>
  <si>
    <t>ЦБ-00013898</t>
  </si>
  <si>
    <t>AVRORA-90 30 595х595х25 CRI90 4000 opal-sand  IP20 белый армстронг DALI2 IEK</t>
  </si>
  <si>
    <t>Заказ на перемещение 00ЦБ-000044 от 11.03.2026 12:24:43</t>
  </si>
  <si>
    <t>ЦБ-00013899</t>
  </si>
  <si>
    <t>AVRORA-90 36 595х595х25 CRI90 4000 opal-sand  IP20 белый армстронг DALI2 IEK</t>
  </si>
  <si>
    <t>ЦБ000008897</t>
  </si>
  <si>
    <t>CSVT AVRORA 32 595x595х25 CRI80 5000 prisma IP20 белый армстронг</t>
  </si>
  <si>
    <t>00ЦБ-002627</t>
  </si>
  <si>
    <t>Заказ клиента 00ЦБ-002627 от 20.03.2026 14:59:52</t>
  </si>
  <si>
    <t>20.03.2026 14:59:52</t>
  </si>
  <si>
    <t>ЦБ000016240</t>
  </si>
  <si>
    <t>CSVT AVRORA 32 595x595х25 CRI80 6500 prisma IP20 белый армстронг</t>
  </si>
  <si>
    <t>00ЦБ-002474</t>
  </si>
  <si>
    <t>Заказ клиента 00ЦБ-002474 от 18.03.2026 11:54:00</t>
  </si>
  <si>
    <t>18.03.2026 11:54:00</t>
  </si>
  <si>
    <t>СВЕТИЛЬНИКИ FLORA (150 max)</t>
  </si>
  <si>
    <t>ЦБ-00003339</t>
  </si>
  <si>
    <t>CSVT FLORA-50 52 1985х50х70 CRI80 4000 opal-sand IP40 черный</t>
  </si>
  <si>
    <t>ЦБ-00003690</t>
  </si>
  <si>
    <t>CSVT FLORA-50 14 1000х50х70 CRI80 5000 opal-sand IP40 черный</t>
  </si>
  <si>
    <t>ЦБ-00005706</t>
  </si>
  <si>
    <t>CSVT FLORA-50 34 1230х50х70 CRI90 4000 opal-sand IP40 черный</t>
  </si>
  <si>
    <t>ПАЛЛОР СК, ООО</t>
  </si>
  <si>
    <t>00ЦБ-002465</t>
  </si>
  <si>
    <t>Заказ клиента 00ЦБ-002465 от 18.03.2026 10:45:49</t>
  </si>
  <si>
    <t>18.03.2026 10:45:49</t>
  </si>
  <si>
    <t>ЦБ-00009020</t>
  </si>
  <si>
    <t>CSVT FLORA-50 27 993х50х70 CRI80 4000 microprisma-opal IP40 красный RAL3020 met AB SW-007</t>
  </si>
  <si>
    <t>00ЦБ-002535</t>
  </si>
  <si>
    <t>Заказ клиента 00ЦБ-002535 от 19.03.2026 9:43:31</t>
  </si>
  <si>
    <t>19.03.2026 9:43:31</t>
  </si>
  <si>
    <t>ЦБ-00009021</t>
  </si>
  <si>
    <t>CSVT FLORA-50 36 1540х50х70 CRI80 4000 microprisma-opal IP40 красный RAL3020 met AB SW-007</t>
  </si>
  <si>
    <t>ЦБ-00011056</t>
  </si>
  <si>
    <t>CSVT FLORA-50-А 27 993х50х70 CRI80 4000 opal-sand IP40 черный с БАП на 1 час LUXDATOR</t>
  </si>
  <si>
    <t>ЦБ-00012162</t>
  </si>
  <si>
    <t>CSVT FLORA-50 54 2290х50х70 CRI80 4000 opal-sand IP40 черный</t>
  </si>
  <si>
    <t>СВЕТИЛЬНИКИ HIGHTECH ALUMOGIPS (150 max)</t>
  </si>
  <si>
    <t>ЦБ-00012470</t>
  </si>
  <si>
    <t>Набор для сборки светильника RVE, номер 14</t>
  </si>
  <si>
    <t>00ЦБ-001725</t>
  </si>
  <si>
    <t>Заказ клиента 00ЦБ-001725 от 25.02.2026 13:09:34</t>
  </si>
  <si>
    <t>25.02.2026 13:09:34</t>
  </si>
  <si>
    <t>ЦБ-00012474</t>
  </si>
  <si>
    <t>Набор для сборки светильника RVE, номер 18</t>
  </si>
  <si>
    <t>00ЦБ-002478</t>
  </si>
  <si>
    <t>Заказ клиента 00ЦБ-002478 от 18.03.2026 11:56:51</t>
  </si>
  <si>
    <t>18.03.2026 11:56:51</t>
  </si>
  <si>
    <t>ЦБ-00012475</t>
  </si>
  <si>
    <t>Набор для сборки светильника RVE, номер 19</t>
  </si>
  <si>
    <t>ЦБ-00012478</t>
  </si>
  <si>
    <t>Набор для сборки светильника RVE, номер 22</t>
  </si>
  <si>
    <t>ЦБ-00013447</t>
  </si>
  <si>
    <t>Набор для сборки светильника RVE, номер 43</t>
  </si>
  <si>
    <t>00ЦБ-001070</t>
  </si>
  <si>
    <t>Заказ клиента 00ЦБ-001070 от 06.02.2026 14:44:06</t>
  </si>
  <si>
    <t>06.02.2026 14:44:06</t>
  </si>
  <si>
    <t>16.02.2026</t>
  </si>
  <si>
    <t>ЦБ-00013448</t>
  </si>
  <si>
    <t>Набор для сборки светильника RVE, номер 44</t>
  </si>
  <si>
    <t>ЦБ000007383</t>
  </si>
  <si>
    <t>CSVT HIGHTECH 50 595х595х40 CRI80 4000 opal-sand IP54 белый</t>
  </si>
  <si>
    <t>00ЦБ-002507</t>
  </si>
  <si>
    <t>Заказ клиента 00ЦБ-002507 от 18.03.2026 15:27:10</t>
  </si>
  <si>
    <t>18.03.2026 15:27:10</t>
  </si>
  <si>
    <t>ЦБ000014045</t>
  </si>
  <si>
    <t>CSVT HIGHTECH-А 32 595х595х40 CRI80 4000 opal-sand IP54 белый c БАП на 3 часа LUXDATOR</t>
  </si>
  <si>
    <t>00ЦБ-002326</t>
  </si>
  <si>
    <t>Заказ клиента 00ЦБ-002326 от 13.03.2026 15:35:07</t>
  </si>
  <si>
    <t>13.03.2026 15:35:07</t>
  </si>
  <si>
    <t>13.03.2026</t>
  </si>
  <si>
    <t>ЦБ000015129</t>
  </si>
  <si>
    <t>CSVT HIGHTECH 32 1195х160х40 CRI80 6500 opal-sand IP40 белый</t>
  </si>
  <si>
    <t>ВИНЧИ, ООО</t>
  </si>
  <si>
    <t>00ЦБ-002623</t>
  </si>
  <si>
    <t>Заказ клиента 00ЦБ-002623 от 20.03.2026 14:20:54</t>
  </si>
  <si>
    <t>20.03.2026 14:20:54</t>
  </si>
  <si>
    <t>ЦБ000017014</t>
  </si>
  <si>
    <t>CSVT HIGHTECH-А 24 595х295х40 CRI80 4000 opal-sand IP54 белый для выносного БАП</t>
  </si>
  <si>
    <t>00ЦБ-002671</t>
  </si>
  <si>
    <t>Заказ клиента 00ЦБ-002671 от 23.03.2026 12:08:52</t>
  </si>
  <si>
    <t>23.03.2026 12:08:52</t>
  </si>
  <si>
    <t>ЦБ000018946</t>
  </si>
  <si>
    <t>CSVT HIGHTECH 32 595x595х40 CRI90 4000 opal-sand IP54 белый</t>
  </si>
  <si>
    <t>ЦБ000018947</t>
  </si>
  <si>
    <t>CSVT HIGHTECH-А 32 595x595х40 CRI90 4000 opal-sand IP54 белый c БАП на 1 час LUXDATOR</t>
  </si>
  <si>
    <t>СВЕТИЛЬНИКИ KSP NOTA CLIO (150 max)</t>
  </si>
  <si>
    <t>ЦБ-00003831</t>
  </si>
  <si>
    <t>CSVT NOTA 18 260х90 CRI80 4000 milky IP65 белый круг ДД B-01</t>
  </si>
  <si>
    <t>ЦБ-00004840</t>
  </si>
  <si>
    <t>CSVT CLIO 18 240х64 CRI80 4000 milky IP65 белый</t>
  </si>
  <si>
    <t>ЛИДЕР, ООО</t>
  </si>
  <si>
    <t>00ЦБ-002285</t>
  </si>
  <si>
    <t>Заказ клиента 00ЦБ-002285 от 13.03.2026 10:44:14</t>
  </si>
  <si>
    <t>13.03.2026 10:44:14</t>
  </si>
  <si>
    <t>ЦБ-00008926</t>
  </si>
  <si>
    <t>Набор для сборки NOTA 14 260х90 CRI80 4000 milky IP65 белый круг</t>
  </si>
  <si>
    <t>Протон Энерго, ООО</t>
  </si>
  <si>
    <t>00ЦБ-002678</t>
  </si>
  <si>
    <t>Заказ клиента 00ЦБ-002678 от 23.03.2026 12:27:38</t>
  </si>
  <si>
    <t>23.03.2026 12:27:38</t>
  </si>
  <si>
    <t>СВЕТИЛЬНИКИ LED-GR - ОДИНОЧНЫЕ (100 max)</t>
  </si>
  <si>
    <t>ЦБ-00012457</t>
  </si>
  <si>
    <t>Набор для сборки светильника RVE, номер 1</t>
  </si>
  <si>
    <t>ЦБ-00012460</t>
  </si>
  <si>
    <t>Набор для сборки светильника RVE, номер 4</t>
  </si>
  <si>
    <t>ЦБ-00012463</t>
  </si>
  <si>
    <t>Набор для сборки светильника RVE, номер 7</t>
  </si>
  <si>
    <t>ЦБ-00012464</t>
  </si>
  <si>
    <t>Набор для сборки светильника RVE, номер 8</t>
  </si>
  <si>
    <t>ЦБ-00012465</t>
  </si>
  <si>
    <t>Набор для сборки светильника RVE, номер 9</t>
  </si>
  <si>
    <t>ЦБ-00012501</t>
  </si>
  <si>
    <t>Набор для сборки светильника RVE, номер 39</t>
  </si>
  <si>
    <t>СВЕТИЛЬНИКИ LIRA (100 max)</t>
  </si>
  <si>
    <t>ЦБ-00009593</t>
  </si>
  <si>
    <t>CSVT LIRA-А 60 650х87х80 CRI80 5000 opal-sand IP65 серый с БАП на 1 час LUXDATOR CON</t>
  </si>
  <si>
    <t>00ЦБ-002482</t>
  </si>
  <si>
    <t>Заказ клиента 00ЦБ-002482 от 18.03.2026 11:57:21</t>
  </si>
  <si>
    <t>Дремина А. В.</t>
  </si>
  <si>
    <t>18.03.2026 11:57:21</t>
  </si>
  <si>
    <t>ЦБ-00012487</t>
  </si>
  <si>
    <t>Набор для сборки светильника RVE, номер 31</t>
  </si>
  <si>
    <t>ЦБ-00012488</t>
  </si>
  <si>
    <t>Набор для сборки светильника RVE, номер 32</t>
  </si>
  <si>
    <t>ЦБ-00012493</t>
  </si>
  <si>
    <t>Набор для сборки светильника RVE, номер 37</t>
  </si>
  <si>
    <t>ЦБ-00012494</t>
  </si>
  <si>
    <t>Набор для сборки светильника RVE, номер 38</t>
  </si>
  <si>
    <t>00ЦБ-000877</t>
  </si>
  <si>
    <t>Заказ клиента 00ЦБ-000877 от 03.02.2026 10:12:24</t>
  </si>
  <si>
    <t>03.02.2026 10:12:24</t>
  </si>
  <si>
    <t>ЦБ-00013404</t>
  </si>
  <si>
    <t>Набор для сборки светильника RVE, номер 47</t>
  </si>
  <si>
    <t>ЦБ-00013405</t>
  </si>
  <si>
    <t>Набор для сборки светильника RVE, номер 48</t>
  </si>
  <si>
    <t>ЦБ000009476</t>
  </si>
  <si>
    <t>CSVT LIRA 38 1230х87х80 CRI80 5000 opal-sand IP54 серый</t>
  </si>
  <si>
    <t>00ЦБ-002624</t>
  </si>
  <si>
    <t>Заказ клиента 00ЦБ-002624 от 20.03.2026 14:21:22</t>
  </si>
  <si>
    <t>20.03.2026 14:21:22</t>
  </si>
  <si>
    <t>СВЕТИЛЬНИКИ LUM (380 max)</t>
  </si>
  <si>
    <t>ЦБ-00010365</t>
  </si>
  <si>
    <t>Корпус светильника CSVT ЛПП-АЙСБЕРГ 2хLED T8 1270х152х100 transparent IP65 серый G13 без лампы</t>
  </si>
  <si>
    <t>00ЦБ-002645</t>
  </si>
  <si>
    <t>Заказ клиента 00ЦБ-002645 от 20.03.2026 18:08:02</t>
  </si>
  <si>
    <t>20.03.2026 18:08:02</t>
  </si>
  <si>
    <t>ЦБ000000959</t>
  </si>
  <si>
    <t>CSVT ЛПO 4хЛЛ T8 615х595х80 opal-sand IP20 белый G13 без лампы с рамкой</t>
  </si>
  <si>
    <t>00ЦБ-002628</t>
  </si>
  <si>
    <t>Заказ клиента 00ЦБ-002628 от 20.03.2026 15:00:11</t>
  </si>
  <si>
    <t>20.03.2026 15:00:11</t>
  </si>
  <si>
    <t>СВЕТИЛЬНИКИ OPERLUX UNIVERSAL НЕСТАНДАРТ (350 max)</t>
  </si>
  <si>
    <t>ЦБ000008095</t>
  </si>
  <si>
    <t>CSVT OPERLUX 32 607х588х80 CRI80 5000 prisma IP20 белый</t>
  </si>
  <si>
    <t>00ЦБ-002685</t>
  </si>
  <si>
    <t>Заказ клиента 00ЦБ-002685 от 23.03.2026 12:38:18</t>
  </si>
  <si>
    <t>23.03.2026 12:38:18</t>
  </si>
  <si>
    <t>ЦБ000010835</t>
  </si>
  <si>
    <t>CSVT OPERLUX 32 607х588х80 CRI80 6500 opal-sand IP20 белый</t>
  </si>
  <si>
    <t>00ЦБ-002647</t>
  </si>
  <si>
    <t>Заказ клиента 00ЦБ-002647 от 23.03.2026 9:06:57</t>
  </si>
  <si>
    <t>23.03.2026 9:06:57</t>
  </si>
  <si>
    <t>СВЕТИЛЬНИКИ SLIM TUBE, LUMIN, FORMAT PRO (150 max)</t>
  </si>
  <si>
    <t>ЦБ-00004839</t>
  </si>
  <si>
    <t>CSVT SLIM-TUBE-A 16 580х83х70 CRI80 4000 milky IP67 серый с БАП на 1 час LUXDATOR</t>
  </si>
  <si>
    <t>ЭЛСВЕТ, ООО</t>
  </si>
  <si>
    <t>00ЦБ-002301</t>
  </si>
  <si>
    <t>Заказ клиента 00ЦБ-002301 от 13.03.2026 12:01:52</t>
  </si>
  <si>
    <t>13.03.2026 12:01:52</t>
  </si>
  <si>
    <t>ЦБ-00006903</t>
  </si>
  <si>
    <t>CSVT LUMIN 16 550х76х71 CRI80 6500 milky IP67 серый</t>
  </si>
  <si>
    <t>00ЦБ-002717</t>
  </si>
  <si>
    <t>Заказ клиента 00ЦБ-002717 от 23.03.2026 17:10:35</t>
  </si>
  <si>
    <t>23.03.2026 17:10:35</t>
  </si>
  <si>
    <t>ЦБ-00006911</t>
  </si>
  <si>
    <t>CSVT LUMIN-A 38 1245х76х71 CRI80 6500 milky IP67 серый для выносного БАП</t>
  </si>
  <si>
    <t>00ЦБ-002594</t>
  </si>
  <si>
    <t>Заказ клиента 00ЦБ-002594 от 20.03.2026 9:52:40</t>
  </si>
  <si>
    <t>20.03.2026 9:52:40</t>
  </si>
  <si>
    <t>СВЕТИЛЬНИКИ SLIM, FORMAT MAESTRO, SMILE (500 max)</t>
  </si>
  <si>
    <t>ЦБ-00012480</t>
  </si>
  <si>
    <t>Набор для сборки светильника RVE, номер 24</t>
  </si>
  <si>
    <t>ЦБ-00012481</t>
  </si>
  <si>
    <t>Набор для сборки светильника RVE, номер 25</t>
  </si>
  <si>
    <t>ЦБ000011843</t>
  </si>
  <si>
    <t>CSVT SLIM-A 38 1262х124х85 CRI80 5000 milky IP65 серый c БАП на 1 час LUXDATOR</t>
  </si>
  <si>
    <t>00ЦБ-002639</t>
  </si>
  <si>
    <t>Заказ клиента 00ЦБ-002639 от 20.03.2026 16:49:19</t>
  </si>
  <si>
    <t>20.03.2026 16:49:19</t>
  </si>
  <si>
    <t>СВЕТИЛЬНИКИ VESTA (100 max)</t>
  </si>
  <si>
    <t>ЦБ000018892</t>
  </si>
  <si>
    <t>CSVT VESTA-SCHOOL 18 1291х500х72 CRI80 4000 opal-sand IP40 белый с кронштейнами</t>
  </si>
  <si>
    <t>СВЕТИЛЬНИКИ VOLGA EU NEMO IP40 (100 max)</t>
  </si>
  <si>
    <t>ЦБ000014222</t>
  </si>
  <si>
    <t>CSVT VOLGA-PL-S 76 1724х70х100 CRI80 4000 milky IP40 белый одиночный монтаж</t>
  </si>
  <si>
    <t>00ЦБ-002568</t>
  </si>
  <si>
    <t>Заказ клиента 00ЦБ-002568 от 19.03.2026 14:16:57</t>
  </si>
  <si>
    <t>00ЦБ-002563</t>
  </si>
  <si>
    <t>Заказ клиента 00ЦБ-002563 от 19.03.2026 13:53:33</t>
  </si>
  <si>
    <t>19.03.2026 13:53:33</t>
  </si>
  <si>
    <t>ЦБ000014366</t>
  </si>
  <si>
    <t>CSVT VOLGA-PL-L 50 1146х70х100 CRI80 4000 milky IP40 белый со сквозной проводкой</t>
  </si>
  <si>
    <t>00ЦБ-002607</t>
  </si>
  <si>
    <t>Заказ клиента 00ЦБ-002607 от 20.03.2026 11:02:45</t>
  </si>
  <si>
    <t>20.03.2026 11:02:45</t>
  </si>
  <si>
    <t>СВЕТИЛЬНИКИ АЙСБЕРГ, FORMAT PRO MAX, FORMAT DPO (330 max)</t>
  </si>
  <si>
    <t>ЦБ-00008475</t>
  </si>
  <si>
    <t>CSVT АЙСБЕРГ-A 57 1270х152х100 CRI80 5000 milky IP65 серый с БАП на 3 часа LUXDATOR CON</t>
  </si>
  <si>
    <t>00ЦБ-002595</t>
  </si>
  <si>
    <t>Заказ клиента 00ЦБ-002595 от 20.03.2026 9:55:36</t>
  </si>
  <si>
    <t>20.03.2026 9:55:36</t>
  </si>
  <si>
    <t>ЦБ000019691</t>
  </si>
  <si>
    <t>Пластина Айсберг-57 5000К с электрокомплектом</t>
  </si>
  <si>
    <t>Соффити Центр, ООО</t>
  </si>
  <si>
    <t>00ЦБ-002666</t>
  </si>
  <si>
    <t>Заказ клиента 00ЦБ-002666 от 23.03.2026 11:47:39</t>
  </si>
  <si>
    <t>Рассрочка 2 р.дня</t>
  </si>
  <si>
    <t>23.03.2026 11:47:39</t>
  </si>
  <si>
    <t>СВЕТИЛЬНИКИ ДИЗАЙНЕРСКИЕ (25 max)</t>
  </si>
  <si>
    <t>ЦБ-00008171</t>
  </si>
  <si>
    <t>CSVT RING-Р 42 600х80 42 CRI90 4000 opal-sand IP40/IP20 черный круг</t>
  </si>
  <si>
    <t>ИРБИС ТД, ООО_7811779285</t>
  </si>
  <si>
    <t>00ЦБ-002498</t>
  </si>
  <si>
    <t>Заказ клиента 00ЦБ-002498 от 18.03.2026 14:30:09</t>
  </si>
  <si>
    <t>18.03.2026 14:30:09</t>
  </si>
  <si>
    <t>ЦБ-00009006</t>
  </si>
  <si>
    <t>CSVT RING-SLIM-P 42 600x70 СRI90 3000 opal-sand IP44/IP20 белый круг ПИК</t>
  </si>
  <si>
    <t>00ЦБ-002256</t>
  </si>
  <si>
    <t>Заказ клиента 00ЦБ-002256 от 12.03.2026 14:36:49</t>
  </si>
  <si>
    <t>12.03.2026 14:36:49</t>
  </si>
  <si>
    <t>ЦБ-00010240</t>
  </si>
  <si>
    <t>CSVT RING-SLIM-N 42 600х70 CRI90 3000 opal-sand IP40/IP20 белый круг</t>
  </si>
  <si>
    <t>00ЦБ-002207</t>
  </si>
  <si>
    <t>Заказ клиента 00ЦБ-002207 от 11.03.2026 16:24:00</t>
  </si>
  <si>
    <t>11.03.2026 16:24:00</t>
  </si>
  <si>
    <t>ЦБ-00011203</t>
  </si>
  <si>
    <t>CSVT RING-Р 195 1500х120 CRI80 3500 opal-sand IP40/IP20 белый круг</t>
  </si>
  <si>
    <t>00ЦБ-002561</t>
  </si>
  <si>
    <t>Заказ клиента 00ЦБ-002561 от 19.03.2026 13:53:19</t>
  </si>
  <si>
    <t>19.03.2026 13:53:19</t>
  </si>
  <si>
    <t>ЦБ-00012556</t>
  </si>
  <si>
    <t>CSVT HOLE-RING-Р 88 1200х80 CRI90 4000 opal-sand IP40/IP20 ORACAL090M</t>
  </si>
  <si>
    <t>ЦБ-00013387</t>
  </si>
  <si>
    <t>CSVT HOLE-RING-P 41 600х80 CRI90 4000 opal-sand IP40/IP20 черный</t>
  </si>
  <si>
    <t>БэстЛайт, ЧТУП</t>
  </si>
  <si>
    <t>00ЦБ-002296</t>
  </si>
  <si>
    <t>Заказ клиента 00ЦБ-002296 от 13.03.2026 11:55:32</t>
  </si>
  <si>
    <t>13.03.2026 11:55:32</t>
  </si>
  <si>
    <t>ЦБ-00013901</t>
  </si>
  <si>
    <t>HOLE-RING-P 57 800х80 CRI90 4000 opal-sand IP40/IP20 ORACAL090M</t>
  </si>
  <si>
    <t>ЦБ-00013902</t>
  </si>
  <si>
    <t>HOLE-RING-P 41 600х80 CRI90 4000 opal-sand IP40/IP20 ORACAL090M</t>
  </si>
  <si>
    <t>ЦБ-00013905</t>
  </si>
  <si>
    <t>HOLE-TRIO-P 36 550х476х70 CRI90 4000 opal-sand IP40/IP20 серебристый RAL 9006 ALUM</t>
  </si>
  <si>
    <t>ЦБ-00013917</t>
  </si>
  <si>
    <t>HOLE-RING-Р 71 1000х80 CRI90 4000 opal-sand IP40/IP20 ORACAL071M</t>
  </si>
  <si>
    <t>00ЦБ-002143</t>
  </si>
  <si>
    <t>Заказ клиента 00ЦБ-002143 от 10.03.2026 11:26:45</t>
  </si>
  <si>
    <t>10.03.2026 11:26:45</t>
  </si>
  <si>
    <t>ЦБ-00013919</t>
  </si>
  <si>
    <t>HOLE-RING-N 88 1200х80 CRI90 4000 opal-sand IP40/IP20 черный</t>
  </si>
  <si>
    <t>ЦБ000019876</t>
  </si>
  <si>
    <t>CSVT RING-P 18 300х80 CRI80 4000 opal-sand IP20 черный круг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</si>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</sst>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8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CCFFC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3" fontId="0" fillId="3" borderId="1" xfId="0" applyNumberForma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ljo\OneDrive\&#1056;&#1072;&#1073;&#1086;&#1095;&#1080;&#1081;%20&#1089;&#1090;&#1086;&#1083;\&#1043;&#1088;&#1072;&#1092;&#1080;&#1082;_&#1087;&#1088;&#1086;&#1080;&#1079;&#1074;&#1086;&#1076;&#1089;&#1090;&#1074;&#1072;_master_file_24.03.2026.xlsx" TargetMode="External"/><Relationship Id="rId1" Type="http://schemas.openxmlformats.org/officeDocument/2006/relationships/externalLinkPath" Target="&#1043;&#1088;&#1072;&#1092;&#1080;&#1082;_&#1087;&#1088;&#1086;&#1080;&#1079;&#1074;&#1086;&#1076;&#1089;&#1090;&#1074;&#1072;_master_file_24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бщий план"/>
      <sheetName val="Образцы"/>
      <sheetName val="Построение графика --&gt;"/>
      <sheetName val="График"/>
      <sheetName val="Проверка загрузки &quot;График&quot;"/>
      <sheetName val="Комментарий производству"/>
      <sheetName val="Построение неснижаемого остатка"/>
      <sheetName val="Шаблон"/>
      <sheetName val="Неснижаемый остаток"/>
      <sheetName val="Проверка загрузки корректировки"/>
      <sheetName val="Ограничения по мощностям"/>
      <sheetName val="Список бригад"/>
      <sheetName val="Ограничение по спецификациям"/>
      <sheetName val="Спец условия по оплате"/>
      <sheetName val="Приоритет"/>
      <sheetName val="Рабочие вкладки--&gt;"/>
    </sheetNames>
    <sheetDataSet>
      <sheetData sheetId="0" refreshError="1"/>
      <sheetData sheetId="1" refreshError="1"/>
      <sheetData sheetId="2" refreshError="1"/>
      <sheetData sheetId="3">
        <row r="3">
          <cell r="C3" t="str">
            <v>ЦБ000000959</v>
          </cell>
          <cell r="F3" t="str">
            <v>00ЦБ-002628</v>
          </cell>
          <cell r="R3">
            <v>271</v>
          </cell>
        </row>
        <row r="4">
          <cell r="C4" t="str">
            <v>ЦБ-00010365</v>
          </cell>
          <cell r="F4" t="str">
            <v>00ЦБ-002645</v>
          </cell>
          <cell r="R4">
            <v>16</v>
          </cell>
        </row>
        <row r="5">
          <cell r="C5" t="str">
            <v>ЦБ-00006903</v>
          </cell>
          <cell r="F5" t="str">
            <v>00ЦБ-002717</v>
          </cell>
          <cell r="R5">
            <v>15</v>
          </cell>
        </row>
        <row r="6">
          <cell r="C6" t="str">
            <v>ЦБ-00006911</v>
          </cell>
          <cell r="F6" t="str">
            <v>00ЦБ-002594</v>
          </cell>
          <cell r="R6">
            <v>20</v>
          </cell>
        </row>
        <row r="7">
          <cell r="C7" t="str">
            <v>ЦБ-00004839</v>
          </cell>
          <cell r="F7" t="str">
            <v>00ЦБ-002301</v>
          </cell>
          <cell r="R7">
            <v>9</v>
          </cell>
        </row>
        <row r="8">
          <cell r="C8" t="str">
            <v>ЦБ000011843</v>
          </cell>
          <cell r="F8" t="str">
            <v>00ЦБ-002639</v>
          </cell>
          <cell r="R8">
            <v>2</v>
          </cell>
        </row>
        <row r="9">
          <cell r="C9" t="str">
            <v>ЦБ-00012480</v>
          </cell>
          <cell r="F9" t="str">
            <v>00ЦБ-002472</v>
          </cell>
          <cell r="R9">
            <v>88</v>
          </cell>
        </row>
        <row r="10">
          <cell r="C10" t="str">
            <v>ЦБ-00012480</v>
          </cell>
          <cell r="F10" t="str">
            <v>00ЦБ-002521</v>
          </cell>
          <cell r="R10">
            <v>178</v>
          </cell>
        </row>
        <row r="11">
          <cell r="C11" t="str">
            <v>ЦБ-00012481</v>
          </cell>
          <cell r="F11" t="str">
            <v>00ЦБ-002472</v>
          </cell>
          <cell r="R11">
            <v>31</v>
          </cell>
        </row>
        <row r="12">
          <cell r="C12" t="str">
            <v>ЦБ-00012481</v>
          </cell>
          <cell r="F12" t="str">
            <v>00ЦБ-002468</v>
          </cell>
          <cell r="R12">
            <v>14</v>
          </cell>
        </row>
        <row r="13">
          <cell r="C13" t="str">
            <v>ЦБ-00012481</v>
          </cell>
          <cell r="F13" t="str">
            <v>00ЦБ-002521</v>
          </cell>
          <cell r="R13">
            <v>1</v>
          </cell>
        </row>
        <row r="14">
          <cell r="C14" t="str">
            <v>ЦБ-00012481</v>
          </cell>
          <cell r="F14" t="str">
            <v>00ЦБ-002466</v>
          </cell>
          <cell r="R14">
            <v>23</v>
          </cell>
        </row>
        <row r="15">
          <cell r="C15" t="str">
            <v>ЦБ-00012481</v>
          </cell>
          <cell r="F15" t="str">
            <v>00ЦБ-001373</v>
          </cell>
          <cell r="R15">
            <v>37</v>
          </cell>
        </row>
        <row r="16">
          <cell r="C16" t="str">
            <v>ЦБ-00008475</v>
          </cell>
          <cell r="F16" t="str">
            <v>00ЦБ-002595</v>
          </cell>
          <cell r="R16">
            <v>8</v>
          </cell>
        </row>
        <row r="17">
          <cell r="C17" t="str">
            <v>ЦБ-00013387</v>
          </cell>
          <cell r="F17" t="str">
            <v>00ЦБ-002296</v>
          </cell>
          <cell r="R17">
            <v>9</v>
          </cell>
        </row>
        <row r="18">
          <cell r="C18" t="str">
            <v>ЦБ-00012556</v>
          </cell>
          <cell r="F18" t="str">
            <v>00ЦБ-002576</v>
          </cell>
          <cell r="R18">
            <v>18</v>
          </cell>
        </row>
        <row r="19">
          <cell r="C19" t="str">
            <v>ЦБ000019876</v>
          </cell>
          <cell r="F19" t="str">
            <v>00ЦБ-002498</v>
          </cell>
          <cell r="R19">
            <v>3</v>
          </cell>
        </row>
        <row r="20">
          <cell r="C20" t="str">
            <v>ЦБ-00010240</v>
          </cell>
          <cell r="F20" t="str">
            <v>00ЦБ-002207</v>
          </cell>
          <cell r="R20">
            <v>39</v>
          </cell>
        </row>
        <row r="21">
          <cell r="C21" t="str">
            <v>ЦБ-00009006</v>
          </cell>
          <cell r="F21" t="str">
            <v>00ЦБ-002256</v>
          </cell>
          <cell r="R21">
            <v>16</v>
          </cell>
        </row>
        <row r="22">
          <cell r="C22" t="str">
            <v>ЦБ-00011203</v>
          </cell>
          <cell r="F22" t="str">
            <v>00ЦБ-002561</v>
          </cell>
          <cell r="R22">
            <v>1</v>
          </cell>
        </row>
        <row r="23">
          <cell r="C23" t="str">
            <v>ЦБ-00008171</v>
          </cell>
          <cell r="F23" t="str">
            <v>00ЦБ-002498</v>
          </cell>
          <cell r="R23">
            <v>3</v>
          </cell>
        </row>
        <row r="24">
          <cell r="C24" t="str">
            <v>ЦБ-00013919</v>
          </cell>
          <cell r="F24" t="str">
            <v>00ЦБ-002296</v>
          </cell>
          <cell r="R24">
            <v>8</v>
          </cell>
        </row>
        <row r="25">
          <cell r="C25" t="str">
            <v>ЦБ-00013902</v>
          </cell>
          <cell r="F25" t="str">
            <v>00ЦБ-002576</v>
          </cell>
          <cell r="R25">
            <v>18</v>
          </cell>
        </row>
        <row r="26">
          <cell r="C26" t="str">
            <v>ЦБ-00013901</v>
          </cell>
          <cell r="F26" t="str">
            <v>00ЦБ-002576</v>
          </cell>
          <cell r="R26">
            <v>18</v>
          </cell>
        </row>
        <row r="27">
          <cell r="C27" t="str">
            <v>ЦБ-00013917</v>
          </cell>
          <cell r="F27" t="str">
            <v>00ЦБ-002143</v>
          </cell>
          <cell r="R27">
            <v>3</v>
          </cell>
        </row>
        <row r="28">
          <cell r="C28" t="str">
            <v>ЦБ-00013905</v>
          </cell>
          <cell r="F28" t="str">
            <v>00ЦБ-002576</v>
          </cell>
          <cell r="R28">
            <v>60</v>
          </cell>
        </row>
        <row r="29">
          <cell r="C29" t="str">
            <v>ЦБ000009476</v>
          </cell>
          <cell r="F29" t="str">
            <v>00ЦБ-002624</v>
          </cell>
          <cell r="R29">
            <v>1</v>
          </cell>
        </row>
        <row r="30">
          <cell r="C30" t="str">
            <v>ЦБ-00009593</v>
          </cell>
          <cell r="F30" t="str">
            <v>00ЦБ-002482</v>
          </cell>
          <cell r="R30">
            <v>13</v>
          </cell>
        </row>
        <row r="31">
          <cell r="C31" t="str">
            <v>ЦБ-00012487</v>
          </cell>
          <cell r="F31" t="str">
            <v>00ЦБ-001725</v>
          </cell>
          <cell r="R31">
            <v>6</v>
          </cell>
        </row>
        <row r="32">
          <cell r="C32" t="str">
            <v>ЦБ-00012487</v>
          </cell>
          <cell r="F32" t="str">
            <v>00ЦБ-002468</v>
          </cell>
          <cell r="R32">
            <v>18</v>
          </cell>
        </row>
        <row r="33">
          <cell r="C33" t="str">
            <v>ЦБ-00012487</v>
          </cell>
          <cell r="F33" t="str">
            <v>00ЦБ-002478</v>
          </cell>
          <cell r="R33">
            <v>2</v>
          </cell>
        </row>
        <row r="34">
          <cell r="C34" t="str">
            <v>ЦБ-00012488</v>
          </cell>
          <cell r="F34" t="str">
            <v>00ЦБ-002472</v>
          </cell>
          <cell r="R34">
            <v>18</v>
          </cell>
        </row>
        <row r="35">
          <cell r="C35" t="str">
            <v>ЦБ-00012488</v>
          </cell>
          <cell r="F35" t="str">
            <v>00ЦБ-002521</v>
          </cell>
          <cell r="R35">
            <v>16</v>
          </cell>
        </row>
        <row r="36">
          <cell r="C36" t="str">
            <v>ЦБ-00012488</v>
          </cell>
          <cell r="F36" t="str">
            <v>00ЦБ-002468</v>
          </cell>
          <cell r="R36">
            <v>46</v>
          </cell>
        </row>
        <row r="37">
          <cell r="C37" t="str">
            <v>ЦБ-00012488</v>
          </cell>
          <cell r="F37" t="str">
            <v>00ЦБ-002466</v>
          </cell>
          <cell r="R37">
            <v>50</v>
          </cell>
        </row>
        <row r="38">
          <cell r="C38" t="str">
            <v>ЦБ-00012488</v>
          </cell>
          <cell r="F38" t="str">
            <v>00ЦБ-001373</v>
          </cell>
          <cell r="R38">
            <v>16</v>
          </cell>
        </row>
        <row r="39">
          <cell r="C39" t="str">
            <v>ЦБ-00012488</v>
          </cell>
          <cell r="F39" t="str">
            <v>00ЦБ-001371</v>
          </cell>
          <cell r="R39">
            <v>81</v>
          </cell>
        </row>
        <row r="40">
          <cell r="C40" t="str">
            <v>ЦБ-00012488</v>
          </cell>
          <cell r="F40" t="str">
            <v>00ЦБ-001732</v>
          </cell>
          <cell r="R40">
            <v>51</v>
          </cell>
        </row>
        <row r="41">
          <cell r="C41" t="str">
            <v>ЦБ-00012493</v>
          </cell>
          <cell r="F41" t="str">
            <v>00ЦБ-001725</v>
          </cell>
          <cell r="R41">
            <v>1</v>
          </cell>
        </row>
        <row r="42">
          <cell r="C42" t="str">
            <v>ЦБ-00012493</v>
          </cell>
          <cell r="F42" t="str">
            <v>00ЦБ-002468</v>
          </cell>
          <cell r="R42">
            <v>3</v>
          </cell>
        </row>
        <row r="43">
          <cell r="C43" t="str">
            <v>ЦБ-00012494</v>
          </cell>
          <cell r="F43" t="str">
            <v>00ЦБ-000877</v>
          </cell>
          <cell r="R43">
            <v>16</v>
          </cell>
        </row>
        <row r="44">
          <cell r="C44" t="str">
            <v>ЦБ-00012494</v>
          </cell>
          <cell r="F44" t="str">
            <v>00ЦБ-002466</v>
          </cell>
          <cell r="R44">
            <v>47</v>
          </cell>
        </row>
        <row r="45">
          <cell r="C45" t="str">
            <v>ЦБ-00012494</v>
          </cell>
          <cell r="F45" t="str">
            <v>00ЦБ-001373</v>
          </cell>
          <cell r="R45">
            <v>6</v>
          </cell>
        </row>
        <row r="46">
          <cell r="C46" t="str">
            <v>ЦБ-00012494</v>
          </cell>
          <cell r="F46" t="str">
            <v>00ЦБ-001371</v>
          </cell>
          <cell r="R46">
            <v>8</v>
          </cell>
        </row>
        <row r="47">
          <cell r="C47" t="str">
            <v>ЦБ-00013404</v>
          </cell>
          <cell r="F47" t="str">
            <v>00ЦБ-001725</v>
          </cell>
          <cell r="R47">
            <v>9</v>
          </cell>
        </row>
        <row r="48">
          <cell r="C48" t="str">
            <v>ЦБ-00013405</v>
          </cell>
          <cell r="F48" t="str">
            <v>00ЦБ-001725</v>
          </cell>
          <cell r="R48">
            <v>7</v>
          </cell>
        </row>
        <row r="49">
          <cell r="C49" t="str">
            <v>ЦБ000018892</v>
          </cell>
          <cell r="F49" t="str">
            <v>00ЦБ-002640</v>
          </cell>
          <cell r="R49">
            <v>31</v>
          </cell>
        </row>
        <row r="50">
          <cell r="C50" t="str">
            <v>ЦБ000014366</v>
          </cell>
          <cell r="F50" t="str">
            <v>00ЦБ-002607</v>
          </cell>
          <cell r="R50">
            <v>32</v>
          </cell>
        </row>
        <row r="51">
          <cell r="C51" t="str">
            <v>ЦБ000014222</v>
          </cell>
          <cell r="F51" t="str">
            <v>00ЦБ-002568</v>
          </cell>
          <cell r="R51">
            <v>100</v>
          </cell>
        </row>
        <row r="52">
          <cell r="C52" t="str">
            <v>ЦБ000014222</v>
          </cell>
          <cell r="F52" t="str">
            <v>00ЦБ-002563</v>
          </cell>
          <cell r="R52">
            <v>100</v>
          </cell>
        </row>
        <row r="53">
          <cell r="C53" t="str">
            <v>ЦБ-00010893</v>
          </cell>
          <cell r="F53" t="str">
            <v>00ЦБ-002431</v>
          </cell>
          <cell r="R53">
            <v>4</v>
          </cell>
        </row>
        <row r="54">
          <cell r="C54" t="str">
            <v>ЦБ-00013767</v>
          </cell>
          <cell r="F54" t="str">
            <v>00ЦБ-002264</v>
          </cell>
          <cell r="R54">
            <v>170</v>
          </cell>
        </row>
        <row r="55">
          <cell r="C55" t="str">
            <v>ЦБ-00013898</v>
          </cell>
          <cell r="R55">
            <v>1</v>
          </cell>
        </row>
        <row r="56">
          <cell r="C56" t="str">
            <v>ЦБ-00013899</v>
          </cell>
          <cell r="R56">
            <v>1</v>
          </cell>
        </row>
        <row r="57">
          <cell r="C57" t="str">
            <v>ЦБ-00004051</v>
          </cell>
          <cell r="F57" t="str">
            <v>00ЦБ-002574</v>
          </cell>
          <cell r="R57">
            <v>10</v>
          </cell>
        </row>
        <row r="58">
          <cell r="C58" t="str">
            <v>РУ000003200</v>
          </cell>
          <cell r="F58" t="str">
            <v>00ЦБ-002580</v>
          </cell>
          <cell r="R58">
            <v>30</v>
          </cell>
        </row>
        <row r="59">
          <cell r="C59" t="str">
            <v>РУ000003200</v>
          </cell>
          <cell r="F59" t="str">
            <v>00ЦБ-002530</v>
          </cell>
          <cell r="R59">
            <v>5</v>
          </cell>
        </row>
        <row r="60">
          <cell r="C60" t="str">
            <v>ЦБ000008897</v>
          </cell>
          <cell r="F60" t="str">
            <v>00ЦБ-002627</v>
          </cell>
          <cell r="R60">
            <v>6</v>
          </cell>
        </row>
        <row r="61">
          <cell r="C61" t="str">
            <v>ЦБ000016240</v>
          </cell>
          <cell r="F61" t="str">
            <v>00ЦБ-002474</v>
          </cell>
          <cell r="R61">
            <v>4</v>
          </cell>
        </row>
        <row r="62">
          <cell r="C62" t="str">
            <v>ЦБ-00012466</v>
          </cell>
          <cell r="F62" t="str">
            <v>00ЦБ-002521</v>
          </cell>
          <cell r="R62">
            <v>778</v>
          </cell>
        </row>
        <row r="63">
          <cell r="C63" t="str">
            <v>ЦБ-00012466</v>
          </cell>
          <cell r="F63" t="str">
            <v>00ЦБ-002472</v>
          </cell>
          <cell r="R63">
            <v>687</v>
          </cell>
        </row>
        <row r="64">
          <cell r="C64" t="str">
            <v>ЦБ-00012467</v>
          </cell>
          <cell r="F64" t="str">
            <v>00ЦБ-002468</v>
          </cell>
          <cell r="R64">
            <v>59</v>
          </cell>
        </row>
        <row r="65">
          <cell r="C65" t="str">
            <v>ЦБ-00012467</v>
          </cell>
          <cell r="F65" t="str">
            <v>00ЦБ-002521</v>
          </cell>
          <cell r="R65">
            <v>20</v>
          </cell>
        </row>
        <row r="66">
          <cell r="C66" t="str">
            <v>ЦБ-00013447</v>
          </cell>
          <cell r="F66" t="str">
            <v>00ЦБ-001070</v>
          </cell>
          <cell r="R66">
            <v>75</v>
          </cell>
        </row>
        <row r="67">
          <cell r="C67" t="str">
            <v>ЦБ-00013448</v>
          </cell>
          <cell r="F67" t="str">
            <v>00ЦБ-001070</v>
          </cell>
          <cell r="R67">
            <v>20</v>
          </cell>
        </row>
        <row r="68">
          <cell r="C68" t="str">
            <v>ЦБ-00013201</v>
          </cell>
          <cell r="F68" t="str">
            <v>00ЦБ-002472</v>
          </cell>
          <cell r="R68">
            <v>18</v>
          </cell>
        </row>
        <row r="69">
          <cell r="C69" t="str">
            <v>ЦБ-00013201</v>
          </cell>
          <cell r="F69" t="str">
            <v>00ЦБ-002521</v>
          </cell>
          <cell r="R69">
            <v>8</v>
          </cell>
        </row>
        <row r="70">
          <cell r="C70" t="str">
            <v>ЦБ-00013201</v>
          </cell>
          <cell r="F70" t="str">
            <v>00ЦБ-002466</v>
          </cell>
          <cell r="R70">
            <v>24</v>
          </cell>
        </row>
        <row r="71">
          <cell r="C71" t="str">
            <v>ЦБ-00013201</v>
          </cell>
          <cell r="F71" t="str">
            <v>00ЦБ-001373</v>
          </cell>
          <cell r="R71">
            <v>14</v>
          </cell>
        </row>
        <row r="72">
          <cell r="C72" t="str">
            <v>ЦБ-00013201</v>
          </cell>
          <cell r="F72" t="str">
            <v>00ЦБ-001368</v>
          </cell>
          <cell r="R72">
            <v>4</v>
          </cell>
        </row>
        <row r="73">
          <cell r="C73" t="str">
            <v>ЦБ-00013201</v>
          </cell>
          <cell r="F73" t="str">
            <v>00ЦБ-001371</v>
          </cell>
          <cell r="R73">
            <v>12</v>
          </cell>
        </row>
        <row r="74">
          <cell r="C74" t="str">
            <v>ЦБ-00013201</v>
          </cell>
          <cell r="F74" t="str">
            <v>00ЦБ-001732</v>
          </cell>
          <cell r="R74">
            <v>43</v>
          </cell>
        </row>
        <row r="75">
          <cell r="C75" t="str">
            <v>ЦБ-00011322</v>
          </cell>
          <cell r="F75" t="str">
            <v>00ЦБ-002108</v>
          </cell>
          <cell r="R75">
            <v>1000</v>
          </cell>
        </row>
        <row r="76">
          <cell r="C76" t="str">
            <v>ЦБ000015129</v>
          </cell>
          <cell r="F76" t="str">
            <v>00ЦБ-002507</v>
          </cell>
          <cell r="R76">
            <v>10</v>
          </cell>
        </row>
        <row r="77">
          <cell r="C77" t="str">
            <v>ЦБ000015129</v>
          </cell>
          <cell r="F77" t="str">
            <v>00ЦБ-002623</v>
          </cell>
          <cell r="R77">
            <v>5</v>
          </cell>
        </row>
        <row r="78">
          <cell r="C78" t="str">
            <v>ЦБ000018946</v>
          </cell>
          <cell r="F78" t="str">
            <v>00ЦБ-002640</v>
          </cell>
          <cell r="R78">
            <v>31</v>
          </cell>
        </row>
        <row r="79">
          <cell r="C79" t="str">
            <v>ЦБ000007383</v>
          </cell>
          <cell r="F79" t="str">
            <v>00ЦБ-002507</v>
          </cell>
          <cell r="R79">
            <v>20</v>
          </cell>
        </row>
        <row r="80">
          <cell r="C80" t="str">
            <v>ЦБ000017014</v>
          </cell>
          <cell r="F80" t="str">
            <v>00ЦБ-002671</v>
          </cell>
          <cell r="R80">
            <v>5</v>
          </cell>
        </row>
        <row r="81">
          <cell r="C81" t="str">
            <v>ЦБ000018947</v>
          </cell>
          <cell r="F81" t="str">
            <v>00ЦБ-002640</v>
          </cell>
          <cell r="R81">
            <v>9</v>
          </cell>
        </row>
        <row r="82">
          <cell r="C82" t="str">
            <v>ЦБ000014045</v>
          </cell>
          <cell r="F82" t="str">
            <v>00ЦБ-002326</v>
          </cell>
          <cell r="R82">
            <v>4</v>
          </cell>
        </row>
        <row r="83">
          <cell r="C83" t="str">
            <v>ЦБ-00012470</v>
          </cell>
          <cell r="F83" t="str">
            <v>00ЦБ-001725</v>
          </cell>
          <cell r="R83">
            <v>4</v>
          </cell>
        </row>
        <row r="84">
          <cell r="C84" t="str">
            <v>ЦБ-00012470</v>
          </cell>
          <cell r="F84" t="str">
            <v>00ЦБ-002468</v>
          </cell>
          <cell r="R84">
            <v>6</v>
          </cell>
        </row>
        <row r="85">
          <cell r="C85" t="str">
            <v>ЦБ-00012470</v>
          </cell>
          <cell r="F85" t="str">
            <v>00ЦБ-002472</v>
          </cell>
          <cell r="R85">
            <v>42</v>
          </cell>
        </row>
        <row r="86">
          <cell r="C86" t="str">
            <v>ЦБ-00012470</v>
          </cell>
          <cell r="F86" t="str">
            <v>00ЦБ-001371</v>
          </cell>
          <cell r="R86">
            <v>45</v>
          </cell>
        </row>
        <row r="87">
          <cell r="C87" t="str">
            <v>ЦБ-00012474</v>
          </cell>
          <cell r="F87" t="str">
            <v>00ЦБ-002472</v>
          </cell>
          <cell r="R87">
            <v>60</v>
          </cell>
        </row>
        <row r="88">
          <cell r="C88" t="str">
            <v>ЦБ-00012474</v>
          </cell>
          <cell r="F88" t="str">
            <v>00ЦБ-002521</v>
          </cell>
          <cell r="R88">
            <v>36</v>
          </cell>
        </row>
        <row r="89">
          <cell r="C89" t="str">
            <v>ЦБ-00012474</v>
          </cell>
          <cell r="F89" t="str">
            <v>00ЦБ-002478</v>
          </cell>
          <cell r="R89">
            <v>19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X160"/>
  <sheetViews>
    <sheetView tabSelected="1" zoomScale="70" workbookViewId="0">
      <selection activeCell="B3" sqref="B3:K142"/>
    </sheetView>
  </sheetViews>
  <sheetFormatPr defaultColWidth="10.42578125" defaultRowHeight="11.4" customHeight="1" x14ac:dyDescent="0.2"/>
  <cols>
    <col min="2" max="2" width="10.42578125" style="1" customWidth="1"/>
    <col min="3" max="3" width="12.7109375" style="1" customWidth="1"/>
    <col min="4" max="4" width="29" style="1" customWidth="1"/>
    <col min="5" max="5" width="59.7109375" style="1" customWidth="1"/>
    <col min="6" max="6" width="12.28515625" style="1" customWidth="1"/>
    <col min="7" max="7" width="49.7109375" style="1" customWidth="1"/>
    <col min="8" max="8" width="53.140625" style="1" customWidth="1"/>
    <col min="9" max="9" width="15.85546875" style="1" customWidth="1"/>
    <col min="10" max="10" width="17.28515625" style="1" customWidth="1"/>
    <col min="11" max="11" width="16.140625" style="1" customWidth="1"/>
    <col min="12" max="13" width="10.28515625" style="1" customWidth="1"/>
    <col min="14" max="14" width="15.7109375" style="1" customWidth="1"/>
    <col min="15" max="15" width="12" style="1" customWidth="1"/>
    <col min="16" max="16" width="16.28515625" style="1" customWidth="1"/>
    <col min="17" max="24" width="13" style="1" customWidth="1"/>
  </cols>
  <sheetData>
    <row r="1" spans="2:24" s="1" customFormat="1" ht="10.050000000000001" customHeight="1" x14ac:dyDescent="0.2"/>
    <row r="2" spans="2:24" ht="40.049999999999997" customHeight="1" x14ac:dyDescent="0.2">
      <c r="B2" s="18" t="s">
        <v>0</v>
      </c>
      <c r="C2" s="2" t="s">
        <v>1</v>
      </c>
      <c r="D2" s="18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>
        <v>1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</row>
    <row r="3" spans="2:24" ht="22.95" customHeight="1" x14ac:dyDescent="0.2">
      <c r="B3" s="15" t="s">
        <v>22</v>
      </c>
      <c r="C3" s="3" t="s">
        <v>23</v>
      </c>
      <c r="D3" s="15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4">
        <v>5</v>
      </c>
      <c r="M3" s="5"/>
      <c r="N3" s="4">
        <v>85</v>
      </c>
      <c r="O3" s="5"/>
      <c r="P3" s="4">
        <v>85</v>
      </c>
      <c r="Q3" s="6" t="e" cm="1" vm="1">
        <f t="array" ref="Q3">_xlfn._xlws.FILTER([1]График!$R$3:$R$89,([1]График!$F$3:$F$89=F3)*([1]График!$C$3:$C$89=C3))</f>
        <v>#VALUE!</v>
      </c>
      <c r="R3" s="6"/>
      <c r="S3" s="7">
        <v>85</v>
      </c>
      <c r="T3" s="6"/>
      <c r="U3" s="6"/>
      <c r="V3" s="6"/>
      <c r="W3" s="6"/>
      <c r="X3" s="6"/>
    </row>
    <row r="4" spans="2:24" ht="22.95" customHeight="1" x14ac:dyDescent="0.2">
      <c r="B4" s="17" t="s">
        <v>22</v>
      </c>
      <c r="C4" s="8" t="s">
        <v>23</v>
      </c>
      <c r="D4" s="17" t="s">
        <v>24</v>
      </c>
      <c r="E4" s="8" t="s">
        <v>32</v>
      </c>
      <c r="F4" s="8" t="s">
        <v>33</v>
      </c>
      <c r="G4" s="8" t="s">
        <v>34</v>
      </c>
      <c r="H4" s="8" t="s">
        <v>35</v>
      </c>
      <c r="I4" s="8" t="s">
        <v>36</v>
      </c>
      <c r="J4" s="8" t="s">
        <v>37</v>
      </c>
      <c r="K4" s="8" t="s">
        <v>38</v>
      </c>
      <c r="L4" s="7">
        <v>5</v>
      </c>
      <c r="M4" s="7">
        <v>3</v>
      </c>
      <c r="N4" s="7">
        <v>15</v>
      </c>
      <c r="O4" s="6"/>
      <c r="P4" s="7">
        <v>15</v>
      </c>
      <c r="Q4" s="6" t="e" cm="1" vm="1">
        <f t="array" ref="Q4">_xlfn._xlws.FILTER([1]График!$R$3:$R$89,([1]График!$F$3:$F$89=F4)*([1]График!$C$3:$C$89=C4))</f>
        <v>#VALUE!</v>
      </c>
      <c r="R4" s="6"/>
      <c r="S4" s="6"/>
      <c r="T4" s="6"/>
      <c r="U4" s="7">
        <v>15</v>
      </c>
      <c r="V4" s="6"/>
      <c r="W4" s="6"/>
      <c r="X4" s="6"/>
    </row>
    <row r="5" spans="2:24" ht="10.95" customHeight="1" x14ac:dyDescent="0.2">
      <c r="B5" s="17" t="s">
        <v>22</v>
      </c>
      <c r="C5" s="8" t="s">
        <v>39</v>
      </c>
      <c r="D5" s="17" t="s">
        <v>40</v>
      </c>
      <c r="E5" s="8" t="s">
        <v>41</v>
      </c>
      <c r="F5" s="8" t="s">
        <v>42</v>
      </c>
      <c r="G5" s="8" t="s">
        <v>43</v>
      </c>
      <c r="H5" s="8" t="s">
        <v>44</v>
      </c>
      <c r="I5" s="8" t="s">
        <v>45</v>
      </c>
      <c r="J5" s="8" t="s">
        <v>46</v>
      </c>
      <c r="K5" s="8" t="s">
        <v>47</v>
      </c>
      <c r="L5" s="6"/>
      <c r="M5" s="6"/>
      <c r="N5" s="7">
        <v>200</v>
      </c>
      <c r="O5" s="6"/>
      <c r="P5" s="7">
        <v>200</v>
      </c>
      <c r="Q5" s="6" t="e" cm="1" vm="1">
        <f t="array" ref="Q5">_xlfn._xlws.FILTER([1]График!$R$3:$R$89,([1]График!$F$3:$F$89=F5)*([1]График!$C$3:$C$89=C5))</f>
        <v>#VALUE!</v>
      </c>
      <c r="R5" s="7">
        <v>100</v>
      </c>
      <c r="S5" s="6"/>
      <c r="T5" s="6"/>
      <c r="U5" s="6"/>
      <c r="V5" s="6"/>
      <c r="W5" s="6"/>
      <c r="X5" s="6"/>
    </row>
    <row r="6" spans="2:24" ht="22.95" customHeight="1" x14ac:dyDescent="0.2">
      <c r="B6" s="17" t="s">
        <v>48</v>
      </c>
      <c r="C6" s="8" t="s">
        <v>57</v>
      </c>
      <c r="D6" s="17" t="s">
        <v>58</v>
      </c>
      <c r="E6" s="8" t="s">
        <v>59</v>
      </c>
      <c r="F6" s="8" t="s">
        <v>60</v>
      </c>
      <c r="G6" s="8" t="s">
        <v>61</v>
      </c>
      <c r="H6" s="8" t="s">
        <v>44</v>
      </c>
      <c r="I6" s="8" t="s">
        <v>45</v>
      </c>
      <c r="J6" s="8" t="s">
        <v>62</v>
      </c>
      <c r="K6" s="8" t="s">
        <v>31</v>
      </c>
      <c r="L6" s="6"/>
      <c r="M6" s="6"/>
      <c r="N6" s="7">
        <v>70</v>
      </c>
      <c r="O6" s="6"/>
      <c r="P6" s="7">
        <v>70</v>
      </c>
      <c r="Q6" s="6" t="e" cm="1" vm="1">
        <f t="array" ref="Q6">_xlfn._xlws.FILTER([1]График!$R$3:$R$89,([1]График!$F$3:$F$89=F6)*([1]График!$C$3:$C$89=C6))</f>
        <v>#VALUE!</v>
      </c>
      <c r="R6" s="6"/>
      <c r="S6" s="6"/>
      <c r="T6" s="6"/>
      <c r="U6" s="6"/>
      <c r="V6" s="6"/>
      <c r="W6" s="6"/>
      <c r="X6" s="6"/>
    </row>
    <row r="7" spans="2:24" ht="22.95" customHeight="1" x14ac:dyDescent="0.2">
      <c r="B7" s="17" t="s">
        <v>48</v>
      </c>
      <c r="C7" s="8" t="s">
        <v>57</v>
      </c>
      <c r="D7" s="17" t="s">
        <v>58</v>
      </c>
      <c r="E7" s="8" t="s">
        <v>59</v>
      </c>
      <c r="F7" s="8" t="s">
        <v>63</v>
      </c>
      <c r="G7" s="8" t="s">
        <v>64</v>
      </c>
      <c r="H7" s="8" t="s">
        <v>44</v>
      </c>
      <c r="I7" s="8" t="s">
        <v>45</v>
      </c>
      <c r="J7" s="8" t="s">
        <v>65</v>
      </c>
      <c r="K7" s="8" t="s">
        <v>66</v>
      </c>
      <c r="L7" s="6"/>
      <c r="M7" s="6"/>
      <c r="N7" s="7">
        <v>20</v>
      </c>
      <c r="O7" s="6"/>
      <c r="P7" s="7">
        <v>20</v>
      </c>
      <c r="Q7" s="6" t="e" cm="1" vm="1">
        <f t="array" ref="Q7">_xlfn._xlws.FILTER([1]График!$R$3:$R$89,([1]График!$F$3:$F$89=F7)*([1]График!$C$3:$C$89=C7))</f>
        <v>#VALUE!</v>
      </c>
      <c r="R7" s="6"/>
      <c r="S7" s="6"/>
      <c r="T7" s="6"/>
      <c r="U7" s="6"/>
      <c r="V7" s="6"/>
      <c r="W7" s="6"/>
      <c r="X7" s="6"/>
    </row>
    <row r="8" spans="2:24" ht="22.95" customHeight="1" x14ac:dyDescent="0.2">
      <c r="B8" s="17" t="s">
        <v>48</v>
      </c>
      <c r="C8" s="8" t="s">
        <v>67</v>
      </c>
      <c r="D8" s="17" t="s">
        <v>68</v>
      </c>
      <c r="E8" s="8" t="s">
        <v>59</v>
      </c>
      <c r="F8" s="8" t="s">
        <v>63</v>
      </c>
      <c r="G8" s="8" t="s">
        <v>64</v>
      </c>
      <c r="H8" s="8" t="s">
        <v>44</v>
      </c>
      <c r="I8" s="8" t="s">
        <v>45</v>
      </c>
      <c r="J8" s="8" t="s">
        <v>65</v>
      </c>
      <c r="K8" s="8" t="s">
        <v>66</v>
      </c>
      <c r="L8" s="10">
        <v>42.83</v>
      </c>
      <c r="M8" s="6"/>
      <c r="N8" s="7">
        <v>20</v>
      </c>
      <c r="O8" s="6"/>
      <c r="P8" s="7">
        <v>20</v>
      </c>
      <c r="Q8" s="6" t="e" cm="1" vm="1">
        <f t="array" ref="Q8">_xlfn._xlws.FILTER([1]График!$R$3:$R$89,([1]График!$F$3:$F$89=F8)*([1]График!$C$3:$C$89=C8))</f>
        <v>#VALUE!</v>
      </c>
      <c r="R8" s="6"/>
      <c r="S8" s="6"/>
      <c r="T8" s="6"/>
      <c r="U8" s="6"/>
      <c r="V8" s="6"/>
      <c r="W8" s="6"/>
      <c r="X8" s="6"/>
    </row>
    <row r="9" spans="2:24" ht="22.95" customHeight="1" x14ac:dyDescent="0.2">
      <c r="B9" s="15" t="s">
        <v>48</v>
      </c>
      <c r="C9" s="3" t="s">
        <v>67</v>
      </c>
      <c r="D9" s="15" t="s">
        <v>68</v>
      </c>
      <c r="E9" s="3" t="s">
        <v>59</v>
      </c>
      <c r="F9" s="3" t="s">
        <v>75</v>
      </c>
      <c r="G9" s="3" t="s">
        <v>76</v>
      </c>
      <c r="H9" s="3" t="s">
        <v>35</v>
      </c>
      <c r="I9" s="3" t="s">
        <v>45</v>
      </c>
      <c r="J9" s="3" t="s">
        <v>77</v>
      </c>
      <c r="K9" s="3" t="s">
        <v>66</v>
      </c>
      <c r="L9" s="11">
        <v>42.83</v>
      </c>
      <c r="M9" s="5"/>
      <c r="N9" s="4">
        <v>12</v>
      </c>
      <c r="O9" s="5"/>
      <c r="P9" s="4">
        <v>12</v>
      </c>
      <c r="Q9" s="6" t="e" cm="1" vm="1">
        <f t="array" ref="Q9">_xlfn._xlws.FILTER([1]График!$R$3:$R$89,([1]График!$F$3:$F$89=F9)*([1]График!$C$3:$C$89=C9))</f>
        <v>#VALUE!</v>
      </c>
      <c r="R9" s="6"/>
      <c r="S9" s="6"/>
      <c r="T9" s="6"/>
      <c r="U9" s="6"/>
      <c r="V9" s="6"/>
      <c r="W9" s="6"/>
      <c r="X9" s="6"/>
    </row>
    <row r="10" spans="2:24" ht="22.95" customHeight="1" x14ac:dyDescent="0.2">
      <c r="B10" s="15" t="s">
        <v>48</v>
      </c>
      <c r="C10" s="3" t="s">
        <v>81</v>
      </c>
      <c r="D10" s="15" t="s">
        <v>82</v>
      </c>
      <c r="E10" s="3" t="s">
        <v>25</v>
      </c>
      <c r="F10" s="3" t="s">
        <v>83</v>
      </c>
      <c r="G10" s="3" t="s">
        <v>84</v>
      </c>
      <c r="H10" s="3" t="s">
        <v>28</v>
      </c>
      <c r="I10" s="3" t="s">
        <v>85</v>
      </c>
      <c r="J10" s="3" t="s">
        <v>86</v>
      </c>
      <c r="K10" s="3" t="s">
        <v>87</v>
      </c>
      <c r="L10" s="5"/>
      <c r="M10" s="5"/>
      <c r="N10" s="4">
        <v>70</v>
      </c>
      <c r="O10" s="5"/>
      <c r="P10" s="4">
        <v>70</v>
      </c>
      <c r="Q10" s="6" t="e" cm="1" vm="1">
        <f t="array" ref="Q10">_xlfn._xlws.FILTER([1]График!$R$3:$R$89,([1]График!$F$3:$F$89=F10)*([1]График!$C$3:$C$89=C10))</f>
        <v>#VALUE!</v>
      </c>
      <c r="R10" s="6"/>
      <c r="S10" s="6"/>
      <c r="T10" s="6"/>
      <c r="U10" s="6"/>
      <c r="V10" s="6"/>
      <c r="W10" s="6"/>
      <c r="X10" s="6"/>
    </row>
    <row r="11" spans="2:24" ht="10.95" customHeight="1" x14ac:dyDescent="0.2">
      <c r="B11" s="17" t="s">
        <v>48</v>
      </c>
      <c r="C11" s="8" t="s">
        <v>81</v>
      </c>
      <c r="D11" s="17" t="s">
        <v>82</v>
      </c>
      <c r="E11" s="8" t="s">
        <v>25</v>
      </c>
      <c r="F11" s="8" t="s">
        <v>88</v>
      </c>
      <c r="G11" s="8" t="s">
        <v>89</v>
      </c>
      <c r="H11" s="8" t="s">
        <v>28</v>
      </c>
      <c r="I11" s="8" t="s">
        <v>90</v>
      </c>
      <c r="J11" s="8" t="s">
        <v>91</v>
      </c>
      <c r="K11" s="8" t="s">
        <v>54</v>
      </c>
      <c r="L11" s="6"/>
      <c r="M11" s="6"/>
      <c r="N11" s="7">
        <v>13</v>
      </c>
      <c r="O11" s="6"/>
      <c r="P11" s="7">
        <v>13</v>
      </c>
      <c r="Q11" s="6" t="e" cm="1" vm="1">
        <f t="array" ref="Q11">_xlfn._xlws.FILTER([1]График!$R$3:$R$89,([1]График!$F$3:$F$89=F11)*([1]График!$C$3:$C$89=C11))</f>
        <v>#VALUE!</v>
      </c>
      <c r="R11" s="6"/>
      <c r="S11" s="6"/>
      <c r="T11" s="6"/>
      <c r="U11" s="6"/>
      <c r="V11" s="6"/>
      <c r="W11" s="6"/>
      <c r="X11" s="6"/>
    </row>
    <row r="12" spans="2:24" ht="22.95" customHeight="1" x14ac:dyDescent="0.2">
      <c r="B12" s="15" t="s">
        <v>92</v>
      </c>
      <c r="C12" s="3" t="s">
        <v>93</v>
      </c>
      <c r="D12" s="15" t="s">
        <v>94</v>
      </c>
      <c r="E12" s="3" t="s">
        <v>95</v>
      </c>
      <c r="F12" s="3" t="s">
        <v>96</v>
      </c>
      <c r="G12" s="3" t="s">
        <v>97</v>
      </c>
      <c r="H12" s="3" t="s">
        <v>44</v>
      </c>
      <c r="I12" s="3" t="s">
        <v>45</v>
      </c>
      <c r="J12" s="3" t="s">
        <v>98</v>
      </c>
      <c r="K12" s="3" t="s">
        <v>66</v>
      </c>
      <c r="L12" s="5"/>
      <c r="M12" s="5"/>
      <c r="N12" s="4">
        <v>300</v>
      </c>
      <c r="O12" s="5"/>
      <c r="P12" s="4">
        <v>300</v>
      </c>
      <c r="Q12" s="6" t="e" cm="1" vm="1">
        <f t="array" ref="Q12">_xlfn._xlws.FILTER([1]График!$R$3:$R$89,([1]График!$F$3:$F$89=F12)*([1]График!$C$3:$C$89=C12))</f>
        <v>#VALUE!</v>
      </c>
      <c r="R12" s="6"/>
      <c r="S12" s="6"/>
      <c r="T12" s="6"/>
      <c r="U12" s="6"/>
      <c r="V12" s="6"/>
      <c r="W12" s="6"/>
      <c r="X12" s="6"/>
    </row>
    <row r="13" spans="2:24" ht="22.95" customHeight="1" x14ac:dyDescent="0.2">
      <c r="B13" s="15" t="s">
        <v>92</v>
      </c>
      <c r="C13" s="3" t="s">
        <v>99</v>
      </c>
      <c r="D13" s="15" t="s">
        <v>100</v>
      </c>
      <c r="E13" s="3" t="s">
        <v>101</v>
      </c>
      <c r="F13" s="3" t="s">
        <v>102</v>
      </c>
      <c r="G13" s="3" t="s">
        <v>103</v>
      </c>
      <c r="H13" s="3" t="s">
        <v>70</v>
      </c>
      <c r="I13" s="3" t="s">
        <v>78</v>
      </c>
      <c r="J13" s="3" t="s">
        <v>104</v>
      </c>
      <c r="K13" s="3" t="s">
        <v>105</v>
      </c>
      <c r="L13" s="5"/>
      <c r="M13" s="5"/>
      <c r="N13" s="4">
        <v>50</v>
      </c>
      <c r="O13" s="5"/>
      <c r="P13" s="4">
        <v>50</v>
      </c>
      <c r="Q13" s="6" t="e" cm="1" vm="1">
        <f t="array" ref="Q13">_xlfn._xlws.FILTER([1]График!$R$3:$R$89,([1]График!$F$3:$F$89=F13)*([1]График!$C$3:$C$89=C13))</f>
        <v>#VALUE!</v>
      </c>
      <c r="R13" s="6"/>
      <c r="S13" s="6"/>
      <c r="T13" s="6"/>
      <c r="U13" s="6"/>
      <c r="V13" s="6"/>
      <c r="W13" s="6"/>
      <c r="X13" s="6"/>
    </row>
    <row r="14" spans="2:24" ht="22.95" customHeight="1" x14ac:dyDescent="0.2">
      <c r="B14" s="17" t="s">
        <v>106</v>
      </c>
      <c r="C14" s="8" t="s">
        <v>107</v>
      </c>
      <c r="D14" s="17" t="s">
        <v>108</v>
      </c>
      <c r="E14" s="8" t="s">
        <v>25</v>
      </c>
      <c r="F14" s="8" t="s">
        <v>109</v>
      </c>
      <c r="G14" s="8" t="s">
        <v>110</v>
      </c>
      <c r="H14" s="8" t="s">
        <v>28</v>
      </c>
      <c r="I14" s="8" t="s">
        <v>111</v>
      </c>
      <c r="J14" s="8" t="s">
        <v>112</v>
      </c>
      <c r="K14" s="8" t="s">
        <v>54</v>
      </c>
      <c r="L14" s="6"/>
      <c r="M14" s="6"/>
      <c r="N14" s="7">
        <v>40</v>
      </c>
      <c r="O14" s="6"/>
      <c r="P14" s="7">
        <v>40</v>
      </c>
      <c r="Q14" s="6" t="e" cm="1" vm="1">
        <f t="array" ref="Q14">_xlfn._xlws.FILTER([1]График!$R$3:$R$89,([1]График!$F$3:$F$89=F14)*([1]График!$C$3:$C$89=C14))</f>
        <v>#VALUE!</v>
      </c>
      <c r="R14" s="6"/>
      <c r="S14" s="6"/>
      <c r="T14" s="6"/>
      <c r="U14" s="6"/>
      <c r="V14" s="6"/>
      <c r="W14" s="6"/>
      <c r="X14" s="6"/>
    </row>
    <row r="15" spans="2:24" ht="10.95" customHeight="1" x14ac:dyDescent="0.2">
      <c r="B15" s="15" t="s">
        <v>106</v>
      </c>
      <c r="C15" s="3" t="s">
        <v>113</v>
      </c>
      <c r="D15" s="15" t="s">
        <v>114</v>
      </c>
      <c r="E15" s="3" t="s">
        <v>115</v>
      </c>
      <c r="F15" s="3" t="s">
        <v>116</v>
      </c>
      <c r="G15" s="3" t="s">
        <v>117</v>
      </c>
      <c r="H15" s="3" t="s">
        <v>44</v>
      </c>
      <c r="I15" s="3" t="s">
        <v>55</v>
      </c>
      <c r="J15" s="3" t="s">
        <v>118</v>
      </c>
      <c r="K15" s="3" t="s">
        <v>54</v>
      </c>
      <c r="L15" s="5"/>
      <c r="M15" s="5"/>
      <c r="N15" s="9">
        <v>1950</v>
      </c>
      <c r="O15" s="5"/>
      <c r="P15" s="9">
        <v>1950</v>
      </c>
      <c r="Q15" s="6" t="e" cm="1" vm="1">
        <f t="array" ref="Q15">_xlfn._xlws.FILTER([1]График!$R$3:$R$89,([1]График!$F$3:$F$89=F15)*([1]График!$C$3:$C$89=C15))</f>
        <v>#VALUE!</v>
      </c>
      <c r="R15" s="7">
        <v>514</v>
      </c>
      <c r="S15" s="6"/>
      <c r="T15" s="6"/>
      <c r="U15" s="6"/>
      <c r="V15" s="6"/>
      <c r="W15" s="6"/>
      <c r="X15" s="6"/>
    </row>
    <row r="16" spans="2:24" ht="22.95" customHeight="1" x14ac:dyDescent="0.2">
      <c r="B16" s="15" t="s">
        <v>106</v>
      </c>
      <c r="C16" s="3" t="s">
        <v>119</v>
      </c>
      <c r="D16" s="15" t="s">
        <v>120</v>
      </c>
      <c r="E16" s="3" t="s">
        <v>59</v>
      </c>
      <c r="F16" s="3" t="s">
        <v>72</v>
      </c>
      <c r="G16" s="3" t="s">
        <v>73</v>
      </c>
      <c r="H16" s="3" t="s">
        <v>70</v>
      </c>
      <c r="I16" s="3" t="s">
        <v>45</v>
      </c>
      <c r="J16" s="3" t="s">
        <v>74</v>
      </c>
      <c r="K16" s="3" t="s">
        <v>54</v>
      </c>
      <c r="L16" s="11">
        <v>73.34</v>
      </c>
      <c r="M16" s="5"/>
      <c r="N16" s="4">
        <v>12</v>
      </c>
      <c r="O16" s="5"/>
      <c r="P16" s="4">
        <v>12</v>
      </c>
      <c r="Q16" s="6" t="e" cm="1" vm="1">
        <f t="array" ref="Q16">_xlfn._xlws.FILTER([1]График!$R$3:$R$89,([1]График!$F$3:$F$89=F16)*([1]График!$C$3:$C$89=C16))</f>
        <v>#VALUE!</v>
      </c>
      <c r="R16" s="6"/>
      <c r="S16" s="6"/>
      <c r="T16" s="6"/>
      <c r="U16" s="6"/>
      <c r="V16" s="6"/>
      <c r="W16" s="6"/>
      <c r="X16" s="6"/>
    </row>
    <row r="17" spans="2:24" ht="22.95" customHeight="1" x14ac:dyDescent="0.2">
      <c r="B17" s="17" t="s">
        <v>106</v>
      </c>
      <c r="C17" s="8" t="s">
        <v>119</v>
      </c>
      <c r="D17" s="17" t="s">
        <v>120</v>
      </c>
      <c r="E17" s="8" t="s">
        <v>59</v>
      </c>
      <c r="F17" s="8" t="s">
        <v>63</v>
      </c>
      <c r="G17" s="8" t="s">
        <v>64</v>
      </c>
      <c r="H17" s="8" t="s">
        <v>44</v>
      </c>
      <c r="I17" s="8" t="s">
        <v>45</v>
      </c>
      <c r="J17" s="8" t="s">
        <v>65</v>
      </c>
      <c r="K17" s="8" t="s">
        <v>66</v>
      </c>
      <c r="L17" s="10">
        <v>73.33</v>
      </c>
      <c r="M17" s="6"/>
      <c r="N17" s="7">
        <v>20</v>
      </c>
      <c r="O17" s="6"/>
      <c r="P17" s="7">
        <v>20</v>
      </c>
      <c r="Q17" s="6" t="e" cm="1" vm="1">
        <f t="array" ref="Q17">_xlfn._xlws.FILTER([1]График!$R$3:$R$89,([1]График!$F$3:$F$89=F17)*([1]График!$C$3:$C$89=C17))</f>
        <v>#VALUE!</v>
      </c>
      <c r="R17" s="7">
        <v>20</v>
      </c>
      <c r="S17" s="6"/>
      <c r="T17" s="6"/>
      <c r="U17" s="6"/>
      <c r="V17" s="6"/>
      <c r="W17" s="6"/>
      <c r="X17" s="6"/>
    </row>
    <row r="18" spans="2:24" ht="22.95" customHeight="1" x14ac:dyDescent="0.2">
      <c r="B18" s="15" t="s">
        <v>106</v>
      </c>
      <c r="C18" s="3" t="s">
        <v>119</v>
      </c>
      <c r="D18" s="15" t="s">
        <v>120</v>
      </c>
      <c r="E18" s="3" t="s">
        <v>59</v>
      </c>
      <c r="F18" s="3" t="s">
        <v>75</v>
      </c>
      <c r="G18" s="3" t="s">
        <v>76</v>
      </c>
      <c r="H18" s="3" t="s">
        <v>35</v>
      </c>
      <c r="I18" s="3" t="s">
        <v>45</v>
      </c>
      <c r="J18" s="3" t="s">
        <v>77</v>
      </c>
      <c r="K18" s="3" t="s">
        <v>66</v>
      </c>
      <c r="L18" s="11">
        <v>73.33</v>
      </c>
      <c r="M18" s="5"/>
      <c r="N18" s="4">
        <v>12</v>
      </c>
      <c r="O18" s="5"/>
      <c r="P18" s="4">
        <v>12</v>
      </c>
      <c r="Q18" s="6" t="e" cm="1" vm="1">
        <f t="array" ref="Q18">_xlfn._xlws.FILTER([1]График!$R$3:$R$89,([1]График!$F$3:$F$89=F18)*([1]График!$C$3:$C$89=C18))</f>
        <v>#VALUE!</v>
      </c>
      <c r="R18" s="6"/>
      <c r="S18" s="6"/>
      <c r="T18" s="6"/>
      <c r="U18" s="6"/>
      <c r="V18" s="6"/>
      <c r="W18" s="6"/>
      <c r="X18" s="6"/>
    </row>
    <row r="19" spans="2:24" ht="22.95" customHeight="1" x14ac:dyDescent="0.2">
      <c r="B19" s="15" t="s">
        <v>121</v>
      </c>
      <c r="C19" s="3" t="s">
        <v>122</v>
      </c>
      <c r="D19" s="15" t="s">
        <v>123</v>
      </c>
      <c r="E19" s="3" t="s">
        <v>25</v>
      </c>
      <c r="F19" s="3" t="s">
        <v>124</v>
      </c>
      <c r="G19" s="3" t="s">
        <v>125</v>
      </c>
      <c r="H19" s="3" t="s">
        <v>28</v>
      </c>
      <c r="I19" s="3" t="s">
        <v>29</v>
      </c>
      <c r="J19" s="3" t="s">
        <v>126</v>
      </c>
      <c r="K19" s="3" t="s">
        <v>56</v>
      </c>
      <c r="L19" s="5"/>
      <c r="M19" s="5"/>
      <c r="N19" s="4">
        <v>40</v>
      </c>
      <c r="O19" s="5"/>
      <c r="P19" s="4">
        <v>40</v>
      </c>
      <c r="Q19" s="6" t="e" cm="1" vm="1">
        <f t="array" ref="Q19">_xlfn._xlws.FILTER([1]График!$R$3:$R$89,([1]График!$F$3:$F$89=F19)*([1]График!$C$3:$C$89=C19))</f>
        <v>#VALUE!</v>
      </c>
      <c r="R19" s="6"/>
      <c r="S19" s="6"/>
      <c r="T19" s="6"/>
      <c r="U19" s="6"/>
      <c r="V19" s="6"/>
      <c r="W19" s="6"/>
      <c r="X19" s="6"/>
    </row>
    <row r="20" spans="2:24" ht="10.95" customHeight="1" x14ac:dyDescent="0.2">
      <c r="B20" s="15" t="s">
        <v>121</v>
      </c>
      <c r="C20" s="3" t="s">
        <v>127</v>
      </c>
      <c r="D20" s="15" t="s">
        <v>128</v>
      </c>
      <c r="E20" s="3" t="s">
        <v>129</v>
      </c>
      <c r="F20" s="3" t="s">
        <v>130</v>
      </c>
      <c r="G20" s="3" t="s">
        <v>131</v>
      </c>
      <c r="H20" s="3" t="s">
        <v>44</v>
      </c>
      <c r="I20" s="3" t="s">
        <v>132</v>
      </c>
      <c r="J20" s="3" t="s">
        <v>133</v>
      </c>
      <c r="K20" s="3" t="s">
        <v>31</v>
      </c>
      <c r="L20" s="5"/>
      <c r="M20" s="5"/>
      <c r="N20" s="4">
        <v>8</v>
      </c>
      <c r="O20" s="5"/>
      <c r="P20" s="4">
        <v>8</v>
      </c>
      <c r="Q20" s="6" t="e" cm="1" vm="1">
        <f t="array" ref="Q20">_xlfn._xlws.FILTER([1]График!$R$3:$R$89,([1]График!$F$3:$F$89=F20)*([1]График!$C$3:$C$89=C20))</f>
        <v>#VALUE!</v>
      </c>
      <c r="R20" s="6"/>
      <c r="S20" s="6"/>
      <c r="T20" s="6"/>
      <c r="U20" s="6"/>
      <c r="V20" s="6"/>
      <c r="W20" s="6"/>
      <c r="X20" s="6"/>
    </row>
    <row r="21" spans="2:24" ht="22.95" customHeight="1" x14ac:dyDescent="0.2">
      <c r="B21" s="15" t="s">
        <v>121</v>
      </c>
      <c r="C21" s="3" t="s">
        <v>134</v>
      </c>
      <c r="D21" s="15" t="s">
        <v>135</v>
      </c>
      <c r="E21" s="3" t="s">
        <v>136</v>
      </c>
      <c r="F21" s="3" t="s">
        <v>137</v>
      </c>
      <c r="G21" s="3" t="s">
        <v>138</v>
      </c>
      <c r="H21" s="3" t="s">
        <v>139</v>
      </c>
      <c r="I21" s="3" t="s">
        <v>140</v>
      </c>
      <c r="J21" s="3" t="s">
        <v>141</v>
      </c>
      <c r="K21" s="3" t="s">
        <v>54</v>
      </c>
      <c r="L21" s="5"/>
      <c r="M21" s="5"/>
      <c r="N21" s="4">
        <v>10</v>
      </c>
      <c r="O21" s="5"/>
      <c r="P21" s="4">
        <v>10</v>
      </c>
      <c r="Q21" s="6" t="e" cm="1" vm="1">
        <f t="array" ref="Q21">_xlfn._xlws.FILTER([1]График!$R$3:$R$89,([1]График!$F$3:$F$89=F21)*([1]График!$C$3:$C$89=C21))</f>
        <v>#VALUE!</v>
      </c>
      <c r="R21" s="6"/>
      <c r="S21" s="6"/>
      <c r="T21" s="6"/>
      <c r="U21" s="6"/>
      <c r="V21" s="6"/>
      <c r="W21" s="6"/>
      <c r="X21" s="6"/>
    </row>
    <row r="22" spans="2:24" ht="22.95" customHeight="1" x14ac:dyDescent="0.2">
      <c r="B22" s="15" t="s">
        <v>121</v>
      </c>
      <c r="C22" s="3" t="s">
        <v>142</v>
      </c>
      <c r="D22" s="15" t="s">
        <v>143</v>
      </c>
      <c r="E22" s="3" t="s">
        <v>25</v>
      </c>
      <c r="F22" s="3" t="s">
        <v>144</v>
      </c>
      <c r="G22" s="3" t="s">
        <v>145</v>
      </c>
      <c r="H22" s="3" t="s">
        <v>28</v>
      </c>
      <c r="I22" s="3" t="s">
        <v>90</v>
      </c>
      <c r="J22" s="3" t="s">
        <v>146</v>
      </c>
      <c r="K22" s="3" t="s">
        <v>31</v>
      </c>
      <c r="L22" s="5"/>
      <c r="M22" s="5"/>
      <c r="N22" s="4">
        <v>8</v>
      </c>
      <c r="O22" s="5"/>
      <c r="P22" s="4">
        <v>8</v>
      </c>
      <c r="Q22" s="6" t="e" cm="1" vm="1">
        <f t="array" ref="Q22">_xlfn._xlws.FILTER([1]График!$R$3:$R$89,([1]График!$F$3:$F$89=F22)*([1]График!$C$3:$C$89=C22))</f>
        <v>#VALUE!</v>
      </c>
      <c r="R22" s="6"/>
      <c r="S22" s="6"/>
      <c r="T22" s="6"/>
      <c r="U22" s="6"/>
      <c r="V22" s="6"/>
      <c r="W22" s="6"/>
      <c r="X22" s="6"/>
    </row>
    <row r="23" spans="2:24" ht="10.95" customHeight="1" x14ac:dyDescent="0.2">
      <c r="B23" s="15" t="s">
        <v>121</v>
      </c>
      <c r="C23" s="3" t="s">
        <v>147</v>
      </c>
      <c r="D23" s="15" t="s">
        <v>148</v>
      </c>
      <c r="E23" s="3" t="s">
        <v>149</v>
      </c>
      <c r="F23" s="3" t="s">
        <v>150</v>
      </c>
      <c r="G23" s="3" t="s">
        <v>151</v>
      </c>
      <c r="H23" s="3" t="s">
        <v>35</v>
      </c>
      <c r="I23" s="3" t="s">
        <v>132</v>
      </c>
      <c r="J23" s="3" t="s">
        <v>152</v>
      </c>
      <c r="K23" s="3" t="s">
        <v>71</v>
      </c>
      <c r="L23" s="4">
        <v>10</v>
      </c>
      <c r="M23" s="5"/>
      <c r="N23" s="4">
        <v>17</v>
      </c>
      <c r="O23" s="5"/>
      <c r="P23" s="4">
        <v>17</v>
      </c>
      <c r="Q23" s="6" t="e" cm="1" vm="1">
        <f t="array" ref="Q23">_xlfn._xlws.FILTER([1]График!$R$3:$R$89,([1]График!$F$3:$F$89=F23)*([1]График!$C$3:$C$89=C23))</f>
        <v>#VALUE!</v>
      </c>
      <c r="R23" s="6"/>
      <c r="S23" s="6"/>
      <c r="T23" s="6"/>
      <c r="U23" s="6"/>
      <c r="V23" s="6"/>
      <c r="W23" s="6"/>
      <c r="X23" s="6"/>
    </row>
    <row r="24" spans="2:24" ht="22.95" customHeight="1" x14ac:dyDescent="0.2">
      <c r="B24" s="15" t="s">
        <v>121</v>
      </c>
      <c r="C24" s="3" t="s">
        <v>153</v>
      </c>
      <c r="D24" s="15" t="s">
        <v>154</v>
      </c>
      <c r="E24" s="3" t="s">
        <v>155</v>
      </c>
      <c r="F24" s="3" t="s">
        <v>156</v>
      </c>
      <c r="G24" s="3" t="s">
        <v>157</v>
      </c>
      <c r="H24" s="3" t="s">
        <v>44</v>
      </c>
      <c r="I24" s="3" t="s">
        <v>158</v>
      </c>
      <c r="J24" s="3" t="s">
        <v>159</v>
      </c>
      <c r="K24" s="3" t="s">
        <v>87</v>
      </c>
      <c r="L24" s="12">
        <v>72.5</v>
      </c>
      <c r="M24" s="5"/>
      <c r="N24" s="4">
        <v>21</v>
      </c>
      <c r="O24" s="5"/>
      <c r="P24" s="4">
        <v>21</v>
      </c>
      <c r="Q24" s="6" t="e" cm="1" vm="1">
        <f t="array" ref="Q24">_xlfn._xlws.FILTER([1]График!$R$3:$R$89,([1]График!$F$3:$F$89=F24)*([1]График!$C$3:$C$89=C24))</f>
        <v>#VALUE!</v>
      </c>
      <c r="R24" s="6"/>
      <c r="S24" s="6"/>
      <c r="T24" s="6"/>
      <c r="U24" s="6"/>
      <c r="V24" s="6"/>
      <c r="W24" s="6"/>
      <c r="X24" s="6"/>
    </row>
    <row r="25" spans="2:24" ht="22.95" customHeight="1" x14ac:dyDescent="0.2">
      <c r="B25" s="15" t="s">
        <v>121</v>
      </c>
      <c r="C25" s="3" t="s">
        <v>153</v>
      </c>
      <c r="D25" s="15" t="s">
        <v>154</v>
      </c>
      <c r="E25" s="3" t="s">
        <v>25</v>
      </c>
      <c r="F25" s="3" t="s">
        <v>160</v>
      </c>
      <c r="G25" s="3" t="s">
        <v>161</v>
      </c>
      <c r="H25" s="3" t="s">
        <v>28</v>
      </c>
      <c r="I25" s="3" t="s">
        <v>90</v>
      </c>
      <c r="J25" s="3" t="s">
        <v>162</v>
      </c>
      <c r="K25" s="3" t="s">
        <v>56</v>
      </c>
      <c r="L25" s="12">
        <v>72.5</v>
      </c>
      <c r="M25" s="5"/>
      <c r="N25" s="4">
        <v>1</v>
      </c>
      <c r="O25" s="5"/>
      <c r="P25" s="4">
        <v>1</v>
      </c>
      <c r="Q25" s="6" t="e" cm="1" vm="1">
        <f t="array" ref="Q25">_xlfn._xlws.FILTER([1]График!$R$3:$R$89,([1]График!$F$3:$F$89=F25)*([1]График!$C$3:$C$89=C25))</f>
        <v>#VALUE!</v>
      </c>
      <c r="R25" s="6"/>
      <c r="S25" s="6"/>
      <c r="T25" s="6"/>
      <c r="U25" s="6"/>
      <c r="V25" s="6"/>
      <c r="W25" s="6"/>
      <c r="X25" s="6"/>
    </row>
    <row r="26" spans="2:24" ht="10.95" customHeight="1" x14ac:dyDescent="0.2">
      <c r="B26" s="15" t="s">
        <v>163</v>
      </c>
      <c r="C26" s="3" t="s">
        <v>164</v>
      </c>
      <c r="D26" s="15" t="s">
        <v>165</v>
      </c>
      <c r="E26" s="3" t="s">
        <v>166</v>
      </c>
      <c r="F26" s="3" t="s">
        <v>167</v>
      </c>
      <c r="G26" s="3" t="s">
        <v>168</v>
      </c>
      <c r="H26" s="3" t="s">
        <v>35</v>
      </c>
      <c r="I26" s="3" t="s">
        <v>169</v>
      </c>
      <c r="J26" s="3" t="s">
        <v>170</v>
      </c>
      <c r="K26" s="3" t="s">
        <v>87</v>
      </c>
      <c r="L26" s="5"/>
      <c r="M26" s="5"/>
      <c r="N26" s="4">
        <v>20</v>
      </c>
      <c r="O26" s="5"/>
      <c r="P26" s="4">
        <v>20</v>
      </c>
      <c r="Q26" s="6" t="e" cm="1" vm="1">
        <f t="array" ref="Q26">_xlfn._xlws.FILTER([1]График!$R$3:$R$89,([1]График!$F$3:$F$89=F26)*([1]График!$C$3:$C$89=C26))</f>
        <v>#VALUE!</v>
      </c>
      <c r="R26" s="6"/>
      <c r="S26" s="6"/>
      <c r="T26" s="6"/>
      <c r="U26" s="6"/>
      <c r="V26" s="6"/>
      <c r="W26" s="6"/>
      <c r="X26" s="6"/>
    </row>
    <row r="27" spans="2:24" ht="10.95" customHeight="1" x14ac:dyDescent="0.2">
      <c r="B27" s="15" t="s">
        <v>163</v>
      </c>
      <c r="C27" s="3" t="s">
        <v>171</v>
      </c>
      <c r="D27" s="15" t="s">
        <v>172</v>
      </c>
      <c r="E27" s="3" t="s">
        <v>166</v>
      </c>
      <c r="F27" s="3" t="s">
        <v>167</v>
      </c>
      <c r="G27" s="3" t="s">
        <v>168</v>
      </c>
      <c r="H27" s="3" t="s">
        <v>35</v>
      </c>
      <c r="I27" s="3" t="s">
        <v>169</v>
      </c>
      <c r="J27" s="3" t="s">
        <v>170</v>
      </c>
      <c r="K27" s="3" t="s">
        <v>87</v>
      </c>
      <c r="L27" s="5"/>
      <c r="M27" s="5"/>
      <c r="N27" s="4">
        <v>35</v>
      </c>
      <c r="O27" s="5"/>
      <c r="P27" s="4">
        <v>35</v>
      </c>
      <c r="Q27" s="6" t="e" cm="1" vm="1">
        <f t="array" ref="Q27">_xlfn._xlws.FILTER([1]График!$R$3:$R$89,([1]График!$F$3:$F$89=F27)*([1]График!$C$3:$C$89=C27))</f>
        <v>#VALUE!</v>
      </c>
      <c r="R27" s="6"/>
      <c r="S27" s="6"/>
      <c r="T27" s="6"/>
      <c r="U27" s="6"/>
      <c r="V27" s="6"/>
      <c r="W27" s="6"/>
      <c r="X27" s="6"/>
    </row>
    <row r="28" spans="2:24" ht="22.95" customHeight="1" x14ac:dyDescent="0.2">
      <c r="B28" s="15" t="s">
        <v>173</v>
      </c>
      <c r="C28" s="3" t="s">
        <v>174</v>
      </c>
      <c r="D28" s="15" t="s">
        <v>175</v>
      </c>
      <c r="E28" s="3" t="s">
        <v>155</v>
      </c>
      <c r="F28" s="3" t="s">
        <v>176</v>
      </c>
      <c r="G28" s="3" t="s">
        <v>177</v>
      </c>
      <c r="H28" s="3" t="s">
        <v>44</v>
      </c>
      <c r="I28" s="3" t="s">
        <v>158</v>
      </c>
      <c r="J28" s="3" t="s">
        <v>178</v>
      </c>
      <c r="K28" s="3" t="s">
        <v>87</v>
      </c>
      <c r="L28" s="5"/>
      <c r="M28" s="5"/>
      <c r="N28" s="4">
        <v>4</v>
      </c>
      <c r="O28" s="5"/>
      <c r="P28" s="4">
        <v>4</v>
      </c>
      <c r="Q28" s="6" cm="1">
        <f t="array" ref="Q28">_xlfn._xlws.FILTER([1]График!$R$3:$R$89,([1]График!$F$3:$F$89=F28)*([1]График!$C$3:$C$89=C28))</f>
        <v>4</v>
      </c>
      <c r="R28" s="6"/>
      <c r="S28" s="6"/>
      <c r="T28" s="6"/>
      <c r="U28" s="6"/>
      <c r="V28" s="6"/>
      <c r="W28" s="6"/>
      <c r="X28" s="6"/>
    </row>
    <row r="29" spans="2:24" ht="22.95" customHeight="1" x14ac:dyDescent="0.2">
      <c r="B29" s="15" t="s">
        <v>173</v>
      </c>
      <c r="C29" s="3" t="s">
        <v>179</v>
      </c>
      <c r="D29" s="15" t="s">
        <v>180</v>
      </c>
      <c r="E29" s="3" t="s">
        <v>181</v>
      </c>
      <c r="F29" s="3" t="s">
        <v>182</v>
      </c>
      <c r="G29" s="3" t="s">
        <v>183</v>
      </c>
      <c r="H29" s="3" t="s">
        <v>184</v>
      </c>
      <c r="I29" s="3" t="s">
        <v>80</v>
      </c>
      <c r="J29" s="3" t="s">
        <v>185</v>
      </c>
      <c r="K29" s="3" t="s">
        <v>31</v>
      </c>
      <c r="L29" s="5"/>
      <c r="M29" s="5"/>
      <c r="N29" s="4">
        <v>170</v>
      </c>
      <c r="O29" s="5"/>
      <c r="P29" s="4">
        <v>170</v>
      </c>
      <c r="Q29" s="6" cm="1">
        <f t="array" ref="Q29">_xlfn._xlws.FILTER([1]График!$R$3:$R$89,([1]График!$F$3:$F$89=F29)*([1]График!$C$3:$C$89=C29))</f>
        <v>170</v>
      </c>
      <c r="R29" s="6"/>
      <c r="S29" s="6"/>
      <c r="T29" s="6"/>
      <c r="U29" s="6"/>
      <c r="V29" s="6"/>
      <c r="W29" s="6"/>
      <c r="X29" s="6"/>
    </row>
    <row r="30" spans="2:24" ht="10.95" customHeight="1" x14ac:dyDescent="0.2">
      <c r="B30" s="15" t="s">
        <v>186</v>
      </c>
      <c r="C30" s="3" t="s">
        <v>187</v>
      </c>
      <c r="D30" s="15" t="s">
        <v>188</v>
      </c>
      <c r="E30" s="3" t="s">
        <v>25</v>
      </c>
      <c r="F30" s="3" t="s">
        <v>189</v>
      </c>
      <c r="G30" s="3" t="s">
        <v>190</v>
      </c>
      <c r="H30" s="3" t="s">
        <v>28</v>
      </c>
      <c r="I30" s="3" t="s">
        <v>90</v>
      </c>
      <c r="J30" s="3" t="s">
        <v>191</v>
      </c>
      <c r="K30" s="3" t="s">
        <v>87</v>
      </c>
      <c r="L30" s="4">
        <v>45</v>
      </c>
      <c r="M30" s="5"/>
      <c r="N30" s="4">
        <v>5</v>
      </c>
      <c r="O30" s="5"/>
      <c r="P30" s="4">
        <v>5</v>
      </c>
      <c r="Q30" s="6" cm="1">
        <f t="array" ref="Q30">_xlfn._xlws.FILTER([1]График!$R$3:$R$89,([1]График!$F$3:$F$89=F30)*([1]График!$C$3:$C$89=C30))</f>
        <v>5</v>
      </c>
      <c r="R30" s="6"/>
      <c r="S30" s="6"/>
      <c r="T30" s="6"/>
      <c r="U30" s="6"/>
      <c r="V30" s="6"/>
      <c r="W30" s="6"/>
      <c r="X30" s="6"/>
    </row>
    <row r="31" spans="2:24" ht="22.95" customHeight="1" x14ac:dyDescent="0.2">
      <c r="B31" s="15" t="s">
        <v>186</v>
      </c>
      <c r="C31" s="3" t="s">
        <v>187</v>
      </c>
      <c r="D31" s="15" t="s">
        <v>188</v>
      </c>
      <c r="E31" s="3" t="s">
        <v>192</v>
      </c>
      <c r="F31" s="3" t="s">
        <v>193</v>
      </c>
      <c r="G31" s="3" t="s">
        <v>194</v>
      </c>
      <c r="H31" s="3" t="s">
        <v>70</v>
      </c>
      <c r="I31" s="3" t="s">
        <v>78</v>
      </c>
      <c r="J31" s="3" t="s">
        <v>195</v>
      </c>
      <c r="K31" s="3" t="s">
        <v>87</v>
      </c>
      <c r="L31" s="4">
        <v>45</v>
      </c>
      <c r="M31" s="4">
        <v>30</v>
      </c>
      <c r="N31" s="4">
        <v>30</v>
      </c>
      <c r="O31" s="5"/>
      <c r="P31" s="4">
        <v>30</v>
      </c>
      <c r="Q31" s="6" cm="1">
        <f t="array" ref="Q31">_xlfn._xlws.FILTER([1]График!$R$3:$R$89,([1]График!$F$3:$F$89=F31)*([1]График!$C$3:$C$89=C31))</f>
        <v>30</v>
      </c>
      <c r="R31" s="6"/>
      <c r="S31" s="6"/>
      <c r="T31" s="6"/>
      <c r="U31" s="7">
        <v>30</v>
      </c>
      <c r="V31" s="6"/>
      <c r="W31" s="6"/>
      <c r="X31" s="6"/>
    </row>
    <row r="32" spans="2:24" ht="22.95" customHeight="1" x14ac:dyDescent="0.2">
      <c r="B32" s="15" t="s">
        <v>186</v>
      </c>
      <c r="C32" s="3" t="s">
        <v>196</v>
      </c>
      <c r="D32" s="15" t="s">
        <v>197</v>
      </c>
      <c r="E32" s="3" t="s">
        <v>136</v>
      </c>
      <c r="F32" s="3" t="s">
        <v>198</v>
      </c>
      <c r="G32" s="3" t="s">
        <v>199</v>
      </c>
      <c r="H32" s="3" t="s">
        <v>139</v>
      </c>
      <c r="I32" s="3" t="s">
        <v>52</v>
      </c>
      <c r="J32" s="3" t="s">
        <v>200</v>
      </c>
      <c r="K32" s="3" t="s">
        <v>54</v>
      </c>
      <c r="L32" s="5"/>
      <c r="M32" s="5"/>
      <c r="N32" s="4">
        <v>10</v>
      </c>
      <c r="O32" s="5"/>
      <c r="P32" s="4">
        <v>10</v>
      </c>
      <c r="Q32" s="6" cm="1">
        <f t="array" ref="Q32">_xlfn._xlws.FILTER([1]График!$R$3:$R$89,([1]График!$F$3:$F$89=F32)*([1]График!$C$3:$C$89=C32))</f>
        <v>10</v>
      </c>
      <c r="R32" s="6"/>
      <c r="S32" s="6"/>
      <c r="T32" s="6"/>
      <c r="U32" s="6"/>
      <c r="V32" s="6"/>
      <c r="W32" s="6"/>
      <c r="X32" s="6"/>
    </row>
    <row r="33" spans="2:24" ht="22.95" customHeight="1" x14ac:dyDescent="0.2">
      <c r="B33" s="15" t="s">
        <v>186</v>
      </c>
      <c r="C33" s="3" t="s">
        <v>201</v>
      </c>
      <c r="D33" s="15" t="s">
        <v>202</v>
      </c>
      <c r="E33" s="3" t="s">
        <v>203</v>
      </c>
      <c r="F33" s="3" t="s">
        <v>204</v>
      </c>
      <c r="G33" s="3" t="s">
        <v>205</v>
      </c>
      <c r="H33" s="3" t="s">
        <v>206</v>
      </c>
      <c r="I33" s="3" t="s">
        <v>78</v>
      </c>
      <c r="J33" s="3" t="s">
        <v>207</v>
      </c>
      <c r="K33" s="3" t="s">
        <v>56</v>
      </c>
      <c r="L33" s="4">
        <v>6</v>
      </c>
      <c r="M33" s="5"/>
      <c r="N33" s="9">
        <v>1000</v>
      </c>
      <c r="O33" s="5"/>
      <c r="P33" s="9">
        <v>1000</v>
      </c>
      <c r="Q33" s="6" cm="1">
        <f t="array" ref="Q33">_xlfn._xlws.FILTER([1]График!$R$3:$R$89,([1]График!$F$3:$F$89=F33)*([1]График!$C$3:$C$89=C33))</f>
        <v>1000</v>
      </c>
      <c r="R33" s="7">
        <v>548</v>
      </c>
      <c r="S33" s="6"/>
      <c r="T33" s="6"/>
      <c r="U33" s="6"/>
      <c r="V33" s="6"/>
      <c r="W33" s="6"/>
      <c r="X33" s="6"/>
    </row>
    <row r="34" spans="2:24" ht="22.95" customHeight="1" x14ac:dyDescent="0.2">
      <c r="B34" s="15" t="s">
        <v>186</v>
      </c>
      <c r="C34" s="3" t="s">
        <v>208</v>
      </c>
      <c r="D34" s="15" t="s">
        <v>209</v>
      </c>
      <c r="E34" s="3" t="s">
        <v>210</v>
      </c>
      <c r="F34" s="3" t="s">
        <v>211</v>
      </c>
      <c r="G34" s="3" t="s">
        <v>212</v>
      </c>
      <c r="H34" s="3" t="s">
        <v>70</v>
      </c>
      <c r="I34" s="3" t="s">
        <v>213</v>
      </c>
      <c r="J34" s="3" t="s">
        <v>214</v>
      </c>
      <c r="K34" s="3" t="s">
        <v>31</v>
      </c>
      <c r="L34" s="12">
        <v>828.5</v>
      </c>
      <c r="M34" s="5"/>
      <c r="N34" s="4">
        <v>778</v>
      </c>
      <c r="O34" s="5"/>
      <c r="P34" s="4">
        <v>778</v>
      </c>
      <c r="Q34" s="6" cm="1">
        <f t="array" ref="Q34">_xlfn._xlws.FILTER([1]График!$R$3:$R$89,([1]График!$F$3:$F$89=F34)*([1]График!$C$3:$C$89=C34))</f>
        <v>778</v>
      </c>
      <c r="R34" s="6"/>
      <c r="S34" s="6"/>
      <c r="T34" s="7">
        <v>286</v>
      </c>
      <c r="U34" s="7">
        <v>492</v>
      </c>
      <c r="V34" s="6"/>
      <c r="W34" s="6"/>
      <c r="X34" s="6"/>
    </row>
    <row r="35" spans="2:24" ht="22.95" customHeight="1" x14ac:dyDescent="0.2">
      <c r="B35" s="15" t="s">
        <v>186</v>
      </c>
      <c r="C35" s="3" t="s">
        <v>208</v>
      </c>
      <c r="D35" s="15" t="s">
        <v>209</v>
      </c>
      <c r="E35" s="3" t="s">
        <v>210</v>
      </c>
      <c r="F35" s="3" t="s">
        <v>215</v>
      </c>
      <c r="G35" s="3" t="s">
        <v>216</v>
      </c>
      <c r="H35" s="3" t="s">
        <v>70</v>
      </c>
      <c r="I35" s="3" t="s">
        <v>213</v>
      </c>
      <c r="J35" s="3" t="s">
        <v>217</v>
      </c>
      <c r="K35" s="3" t="s">
        <v>31</v>
      </c>
      <c r="L35" s="12">
        <v>828.5</v>
      </c>
      <c r="M35" s="5"/>
      <c r="N35" s="4">
        <v>687</v>
      </c>
      <c r="O35" s="5"/>
      <c r="P35" s="4">
        <v>687</v>
      </c>
      <c r="Q35" s="6" cm="1">
        <f t="array" ref="Q35">_xlfn._xlws.FILTER([1]График!$R$3:$R$89,([1]График!$F$3:$F$89=F35)*([1]График!$C$3:$C$89=C35))</f>
        <v>687</v>
      </c>
      <c r="R35" s="6"/>
      <c r="S35" s="7">
        <v>451</v>
      </c>
      <c r="T35" s="7">
        <v>236</v>
      </c>
      <c r="U35" s="6"/>
      <c r="V35" s="6"/>
      <c r="W35" s="6"/>
      <c r="X35" s="6"/>
    </row>
    <row r="36" spans="2:24" ht="22.95" customHeight="1" x14ac:dyDescent="0.2">
      <c r="B36" s="15" t="s">
        <v>186</v>
      </c>
      <c r="C36" s="3" t="s">
        <v>218</v>
      </c>
      <c r="D36" s="15" t="s">
        <v>219</v>
      </c>
      <c r="E36" s="3" t="s">
        <v>210</v>
      </c>
      <c r="F36" s="3" t="s">
        <v>220</v>
      </c>
      <c r="G36" s="3" t="s">
        <v>221</v>
      </c>
      <c r="H36" s="3" t="s">
        <v>70</v>
      </c>
      <c r="I36" s="3" t="s">
        <v>213</v>
      </c>
      <c r="J36" s="3" t="s">
        <v>222</v>
      </c>
      <c r="K36" s="3" t="s">
        <v>31</v>
      </c>
      <c r="L36" s="5"/>
      <c r="M36" s="5"/>
      <c r="N36" s="4">
        <v>59</v>
      </c>
      <c r="O36" s="5"/>
      <c r="P36" s="4">
        <v>59</v>
      </c>
      <c r="Q36" s="6" cm="1">
        <f t="array" ref="Q36">_xlfn._xlws.FILTER([1]График!$R$3:$R$89,([1]График!$F$3:$F$89=F36)*([1]График!$C$3:$C$89=C36))</f>
        <v>59</v>
      </c>
      <c r="R36" s="6"/>
      <c r="S36" s="7">
        <v>59</v>
      </c>
      <c r="T36" s="6"/>
      <c r="U36" s="6"/>
      <c r="V36" s="6"/>
      <c r="W36" s="6"/>
      <c r="X36" s="6"/>
    </row>
    <row r="37" spans="2:24" ht="22.95" customHeight="1" x14ac:dyDescent="0.2">
      <c r="B37" s="15" t="s">
        <v>186</v>
      </c>
      <c r="C37" s="3" t="s">
        <v>218</v>
      </c>
      <c r="D37" s="15" t="s">
        <v>219</v>
      </c>
      <c r="E37" s="3" t="s">
        <v>210</v>
      </c>
      <c r="F37" s="3" t="s">
        <v>211</v>
      </c>
      <c r="G37" s="3" t="s">
        <v>212</v>
      </c>
      <c r="H37" s="3" t="s">
        <v>70</v>
      </c>
      <c r="I37" s="3" t="s">
        <v>213</v>
      </c>
      <c r="J37" s="3" t="s">
        <v>214</v>
      </c>
      <c r="K37" s="3" t="s">
        <v>31</v>
      </c>
      <c r="L37" s="5"/>
      <c r="M37" s="5"/>
      <c r="N37" s="4">
        <v>20</v>
      </c>
      <c r="O37" s="5"/>
      <c r="P37" s="4">
        <v>20</v>
      </c>
      <c r="Q37" s="6" cm="1">
        <f t="array" ref="Q37">_xlfn._xlws.FILTER([1]График!$R$3:$R$89,([1]График!$F$3:$F$89=F37)*([1]График!$C$3:$C$89=C37))</f>
        <v>20</v>
      </c>
      <c r="R37" s="6"/>
      <c r="S37" s="6"/>
      <c r="T37" s="7">
        <v>20</v>
      </c>
      <c r="U37" s="6"/>
      <c r="V37" s="6"/>
      <c r="W37" s="6"/>
      <c r="X37" s="6"/>
    </row>
    <row r="38" spans="2:24" ht="22.95" customHeight="1" x14ac:dyDescent="0.2">
      <c r="B38" s="15" t="s">
        <v>186</v>
      </c>
      <c r="C38" s="3" t="s">
        <v>223</v>
      </c>
      <c r="D38" s="15" t="s">
        <v>224</v>
      </c>
      <c r="E38" s="3" t="s">
        <v>210</v>
      </c>
      <c r="F38" s="3" t="s">
        <v>225</v>
      </c>
      <c r="G38" s="3" t="s">
        <v>226</v>
      </c>
      <c r="H38" s="3" t="s">
        <v>70</v>
      </c>
      <c r="I38" s="3" t="s">
        <v>213</v>
      </c>
      <c r="J38" s="3" t="s">
        <v>227</v>
      </c>
      <c r="K38" s="3" t="s">
        <v>228</v>
      </c>
      <c r="L38" s="5"/>
      <c r="M38" s="5"/>
      <c r="N38" s="4">
        <v>12</v>
      </c>
      <c r="O38" s="5"/>
      <c r="P38" s="4">
        <v>12</v>
      </c>
      <c r="Q38" s="6" cm="1">
        <f t="array" ref="Q38">_xlfn._xlws.FILTER([1]График!$R$3:$R$89,([1]График!$F$3:$F$89=F38)*([1]График!$C$3:$C$89=C38))</f>
        <v>12</v>
      </c>
      <c r="R38" s="6"/>
      <c r="S38" s="6"/>
      <c r="T38" s="6"/>
      <c r="U38" s="6"/>
      <c r="V38" s="6"/>
      <c r="W38" s="6"/>
      <c r="X38" s="6"/>
    </row>
    <row r="39" spans="2:24" ht="22.95" customHeight="1" x14ac:dyDescent="0.2">
      <c r="B39" s="15" t="s">
        <v>186</v>
      </c>
      <c r="C39" s="3" t="s">
        <v>223</v>
      </c>
      <c r="D39" s="15" t="s">
        <v>224</v>
      </c>
      <c r="E39" s="3" t="s">
        <v>210</v>
      </c>
      <c r="F39" s="3" t="s">
        <v>215</v>
      </c>
      <c r="G39" s="3" t="s">
        <v>216</v>
      </c>
      <c r="H39" s="3" t="s">
        <v>70</v>
      </c>
      <c r="I39" s="3" t="s">
        <v>213</v>
      </c>
      <c r="J39" s="3" t="s">
        <v>217</v>
      </c>
      <c r="K39" s="3" t="s">
        <v>31</v>
      </c>
      <c r="L39" s="5"/>
      <c r="M39" s="5"/>
      <c r="N39" s="4">
        <v>18</v>
      </c>
      <c r="O39" s="5"/>
      <c r="P39" s="4">
        <v>18</v>
      </c>
      <c r="Q39" s="6" cm="1">
        <f t="array" ref="Q39">_xlfn._xlws.FILTER([1]График!$R$3:$R$89,([1]График!$F$3:$F$89=F39)*([1]График!$C$3:$C$89=C39))</f>
        <v>18</v>
      </c>
      <c r="R39" s="6"/>
      <c r="S39" s="7">
        <v>18</v>
      </c>
      <c r="T39" s="6"/>
      <c r="U39" s="6"/>
      <c r="V39" s="6"/>
      <c r="W39" s="6"/>
      <c r="X39" s="6"/>
    </row>
    <row r="40" spans="2:24" ht="22.95" customHeight="1" x14ac:dyDescent="0.2">
      <c r="B40" s="15" t="s">
        <v>186</v>
      </c>
      <c r="C40" s="3" t="s">
        <v>223</v>
      </c>
      <c r="D40" s="15" t="s">
        <v>224</v>
      </c>
      <c r="E40" s="3" t="s">
        <v>210</v>
      </c>
      <c r="F40" s="3" t="s">
        <v>229</v>
      </c>
      <c r="G40" s="3" t="s">
        <v>230</v>
      </c>
      <c r="H40" s="3" t="s">
        <v>70</v>
      </c>
      <c r="I40" s="3" t="s">
        <v>213</v>
      </c>
      <c r="J40" s="3" t="s">
        <v>231</v>
      </c>
      <c r="K40" s="3" t="s">
        <v>47</v>
      </c>
      <c r="L40" s="5"/>
      <c r="M40" s="5"/>
      <c r="N40" s="4">
        <v>43</v>
      </c>
      <c r="O40" s="5"/>
      <c r="P40" s="4">
        <v>43</v>
      </c>
      <c r="Q40" s="6" cm="1">
        <f t="array" ref="Q40">_xlfn._xlws.FILTER([1]График!$R$3:$R$89,([1]График!$F$3:$F$89=F40)*([1]График!$C$3:$C$89=C40))</f>
        <v>43</v>
      </c>
      <c r="R40" s="6"/>
      <c r="S40" s="6"/>
      <c r="T40" s="6"/>
      <c r="U40" s="6"/>
      <c r="V40" s="6"/>
      <c r="W40" s="6"/>
      <c r="X40" s="6"/>
    </row>
    <row r="41" spans="2:24" ht="22.95" customHeight="1" x14ac:dyDescent="0.2">
      <c r="B41" s="15" t="s">
        <v>186</v>
      </c>
      <c r="C41" s="3" t="s">
        <v>223</v>
      </c>
      <c r="D41" s="15" t="s">
        <v>224</v>
      </c>
      <c r="E41" s="3" t="s">
        <v>210</v>
      </c>
      <c r="F41" s="3" t="s">
        <v>211</v>
      </c>
      <c r="G41" s="3" t="s">
        <v>212</v>
      </c>
      <c r="H41" s="3" t="s">
        <v>70</v>
      </c>
      <c r="I41" s="3" t="s">
        <v>213</v>
      </c>
      <c r="J41" s="3" t="s">
        <v>214</v>
      </c>
      <c r="K41" s="3" t="s">
        <v>31</v>
      </c>
      <c r="L41" s="5"/>
      <c r="M41" s="5"/>
      <c r="N41" s="4">
        <v>8</v>
      </c>
      <c r="O41" s="5"/>
      <c r="P41" s="4">
        <v>8</v>
      </c>
      <c r="Q41" s="6" cm="1">
        <f t="array" ref="Q41">_xlfn._xlws.FILTER([1]График!$R$3:$R$89,([1]График!$F$3:$F$89=F41)*([1]График!$C$3:$C$89=C41))</f>
        <v>8</v>
      </c>
      <c r="R41" s="6"/>
      <c r="S41" s="6"/>
      <c r="T41" s="7">
        <v>8</v>
      </c>
      <c r="U41" s="6"/>
      <c r="V41" s="6"/>
      <c r="W41" s="6"/>
      <c r="X41" s="6"/>
    </row>
    <row r="42" spans="2:24" ht="22.95" customHeight="1" x14ac:dyDescent="0.2">
      <c r="B42" s="15" t="s">
        <v>186</v>
      </c>
      <c r="C42" s="3" t="s">
        <v>223</v>
      </c>
      <c r="D42" s="15" t="s">
        <v>224</v>
      </c>
      <c r="E42" s="3" t="s">
        <v>210</v>
      </c>
      <c r="F42" s="3" t="s">
        <v>232</v>
      </c>
      <c r="G42" s="3" t="s">
        <v>233</v>
      </c>
      <c r="H42" s="3" t="s">
        <v>70</v>
      </c>
      <c r="I42" s="3" t="s">
        <v>213</v>
      </c>
      <c r="J42" s="3" t="s">
        <v>234</v>
      </c>
      <c r="K42" s="3" t="s">
        <v>228</v>
      </c>
      <c r="L42" s="5"/>
      <c r="M42" s="5"/>
      <c r="N42" s="4">
        <v>4</v>
      </c>
      <c r="O42" s="5"/>
      <c r="P42" s="4">
        <v>4</v>
      </c>
      <c r="Q42" s="6" cm="1">
        <f t="array" ref="Q42">_xlfn._xlws.FILTER([1]График!$R$3:$R$89,([1]График!$F$3:$F$89=F42)*([1]График!$C$3:$C$89=C42))</f>
        <v>4</v>
      </c>
      <c r="R42" s="6"/>
      <c r="S42" s="6"/>
      <c r="T42" s="6"/>
      <c r="U42" s="6"/>
      <c r="V42" s="6"/>
      <c r="W42" s="6"/>
      <c r="X42" s="6"/>
    </row>
    <row r="43" spans="2:24" ht="22.95" customHeight="1" x14ac:dyDescent="0.2">
      <c r="B43" s="15" t="s">
        <v>186</v>
      </c>
      <c r="C43" s="3" t="s">
        <v>223</v>
      </c>
      <c r="D43" s="15" t="s">
        <v>224</v>
      </c>
      <c r="E43" s="3" t="s">
        <v>210</v>
      </c>
      <c r="F43" s="3" t="s">
        <v>235</v>
      </c>
      <c r="G43" s="3" t="s">
        <v>236</v>
      </c>
      <c r="H43" s="3" t="s">
        <v>70</v>
      </c>
      <c r="I43" s="3" t="s">
        <v>213</v>
      </c>
      <c r="J43" s="3" t="s">
        <v>237</v>
      </c>
      <c r="K43" s="3" t="s">
        <v>31</v>
      </c>
      <c r="L43" s="5"/>
      <c r="M43" s="5"/>
      <c r="N43" s="4">
        <v>24</v>
      </c>
      <c r="O43" s="5"/>
      <c r="P43" s="4">
        <v>24</v>
      </c>
      <c r="Q43" s="6" cm="1">
        <f t="array" ref="Q43">_xlfn._xlws.FILTER([1]График!$R$3:$R$89,([1]График!$F$3:$F$89=F43)*([1]График!$C$3:$C$89=C43))</f>
        <v>24</v>
      </c>
      <c r="R43" s="7">
        <v>2</v>
      </c>
      <c r="S43" s="7">
        <v>22</v>
      </c>
      <c r="T43" s="6"/>
      <c r="U43" s="6"/>
      <c r="V43" s="6"/>
      <c r="W43" s="6"/>
      <c r="X43" s="6"/>
    </row>
    <row r="44" spans="2:24" ht="22.95" customHeight="1" x14ac:dyDescent="0.2">
      <c r="B44" s="15" t="s">
        <v>186</v>
      </c>
      <c r="C44" s="3" t="s">
        <v>223</v>
      </c>
      <c r="D44" s="15" t="s">
        <v>224</v>
      </c>
      <c r="E44" s="3" t="s">
        <v>210</v>
      </c>
      <c r="F44" s="3" t="s">
        <v>238</v>
      </c>
      <c r="G44" s="3" t="s">
        <v>239</v>
      </c>
      <c r="H44" s="3" t="s">
        <v>70</v>
      </c>
      <c r="I44" s="3" t="s">
        <v>213</v>
      </c>
      <c r="J44" s="3" t="s">
        <v>240</v>
      </c>
      <c r="K44" s="3" t="s">
        <v>228</v>
      </c>
      <c r="L44" s="5"/>
      <c r="M44" s="5"/>
      <c r="N44" s="4">
        <v>14</v>
      </c>
      <c r="O44" s="5"/>
      <c r="P44" s="4">
        <v>14</v>
      </c>
      <c r="Q44" s="6" cm="1">
        <f t="array" ref="Q44">_xlfn._xlws.FILTER([1]График!$R$3:$R$89,([1]График!$F$3:$F$89=F44)*([1]График!$C$3:$C$89=C44))</f>
        <v>14</v>
      </c>
      <c r="R44" s="6"/>
      <c r="S44" s="6"/>
      <c r="T44" s="6"/>
      <c r="U44" s="6"/>
      <c r="V44" s="6"/>
      <c r="W44" s="6"/>
      <c r="X44" s="6"/>
    </row>
    <row r="45" spans="2:24" ht="22.95" customHeight="1" x14ac:dyDescent="0.2">
      <c r="B45" s="17" t="s">
        <v>186</v>
      </c>
      <c r="C45" s="8" t="s">
        <v>241</v>
      </c>
      <c r="D45" s="17" t="s">
        <v>242</v>
      </c>
      <c r="E45" s="8"/>
      <c r="F45" s="8"/>
      <c r="G45" s="8" t="s">
        <v>243</v>
      </c>
      <c r="H45" s="8"/>
      <c r="I45" s="8"/>
      <c r="J45" s="8"/>
      <c r="K45" s="8"/>
      <c r="L45" s="6"/>
      <c r="M45" s="6"/>
      <c r="N45" s="7">
        <v>1</v>
      </c>
      <c r="O45" s="6"/>
      <c r="P45" s="7">
        <v>1</v>
      </c>
      <c r="Q45" s="6" cm="1">
        <f t="array" ref="Q45">_xlfn._xlws.FILTER([1]График!$R$3:$R$89,([1]График!$F$3:$F$89=F45)*([1]График!$C$3:$C$89=C45))</f>
        <v>1</v>
      </c>
      <c r="R45" s="6"/>
      <c r="S45" s="6"/>
      <c r="T45" s="6"/>
      <c r="U45" s="7">
        <v>1</v>
      </c>
      <c r="V45" s="6"/>
      <c r="W45" s="6"/>
      <c r="X45" s="6"/>
    </row>
    <row r="46" spans="2:24" ht="22.95" customHeight="1" x14ac:dyDescent="0.2">
      <c r="B46" s="17" t="s">
        <v>186</v>
      </c>
      <c r="C46" s="8" t="s">
        <v>244</v>
      </c>
      <c r="D46" s="17" t="s">
        <v>245</v>
      </c>
      <c r="E46" s="8"/>
      <c r="F46" s="8"/>
      <c r="G46" s="8" t="s">
        <v>243</v>
      </c>
      <c r="H46" s="8"/>
      <c r="I46" s="8"/>
      <c r="J46" s="8"/>
      <c r="K46" s="8"/>
      <c r="L46" s="6"/>
      <c r="M46" s="6"/>
      <c r="N46" s="7">
        <v>1</v>
      </c>
      <c r="O46" s="6"/>
      <c r="P46" s="7">
        <v>1</v>
      </c>
      <c r="Q46" s="6" cm="1">
        <f t="array" ref="Q46">_xlfn._xlws.FILTER([1]График!$R$3:$R$89,([1]График!$F$3:$F$89=F46)*([1]График!$C$3:$C$89=C46))</f>
        <v>1</v>
      </c>
      <c r="R46" s="6"/>
      <c r="S46" s="6"/>
      <c r="T46" s="6"/>
      <c r="U46" s="7">
        <v>1</v>
      </c>
      <c r="V46" s="6"/>
      <c r="W46" s="6"/>
      <c r="X46" s="6"/>
    </row>
    <row r="47" spans="2:24" ht="22.95" customHeight="1" x14ac:dyDescent="0.2">
      <c r="B47" s="17" t="s">
        <v>186</v>
      </c>
      <c r="C47" s="8" t="s">
        <v>246</v>
      </c>
      <c r="D47" s="17" t="s">
        <v>247</v>
      </c>
      <c r="E47" s="8" t="s">
        <v>136</v>
      </c>
      <c r="F47" s="8" t="s">
        <v>248</v>
      </c>
      <c r="G47" s="8" t="s">
        <v>249</v>
      </c>
      <c r="H47" s="8" t="s">
        <v>139</v>
      </c>
      <c r="I47" s="8" t="s">
        <v>140</v>
      </c>
      <c r="J47" s="8" t="s">
        <v>250</v>
      </c>
      <c r="K47" s="8" t="s">
        <v>54</v>
      </c>
      <c r="L47" s="7">
        <v>12</v>
      </c>
      <c r="M47" s="6"/>
      <c r="N47" s="7">
        <v>6</v>
      </c>
      <c r="O47" s="6"/>
      <c r="P47" s="7">
        <v>6</v>
      </c>
      <c r="Q47" s="6" cm="1">
        <f t="array" ref="Q47">_xlfn._xlws.FILTER([1]График!$R$3:$R$89,([1]График!$F$3:$F$89=F47)*([1]График!$C$3:$C$89=C47))</f>
        <v>6</v>
      </c>
      <c r="R47" s="6"/>
      <c r="S47" s="6"/>
      <c r="T47" s="6"/>
      <c r="U47" s="6"/>
      <c r="V47" s="6"/>
      <c r="W47" s="6"/>
      <c r="X47" s="6"/>
    </row>
    <row r="48" spans="2:24" ht="10.95" customHeight="1" x14ac:dyDescent="0.2">
      <c r="B48" s="15" t="s">
        <v>186</v>
      </c>
      <c r="C48" s="3" t="s">
        <v>251</v>
      </c>
      <c r="D48" s="15" t="s">
        <v>252</v>
      </c>
      <c r="E48" s="3" t="s">
        <v>25</v>
      </c>
      <c r="F48" s="3" t="s">
        <v>253</v>
      </c>
      <c r="G48" s="3" t="s">
        <v>254</v>
      </c>
      <c r="H48" s="3" t="s">
        <v>28</v>
      </c>
      <c r="I48" s="3" t="s">
        <v>90</v>
      </c>
      <c r="J48" s="3" t="s">
        <v>255</v>
      </c>
      <c r="K48" s="3" t="s">
        <v>71</v>
      </c>
      <c r="L48" s="5"/>
      <c r="M48" s="5"/>
      <c r="N48" s="4">
        <v>4</v>
      </c>
      <c r="O48" s="5"/>
      <c r="P48" s="4">
        <v>4</v>
      </c>
      <c r="Q48" s="6" cm="1">
        <f t="array" ref="Q48">_xlfn._xlws.FILTER([1]График!$R$3:$R$89,([1]График!$F$3:$F$89=F48)*([1]График!$C$3:$C$89=C48))</f>
        <v>4</v>
      </c>
      <c r="R48" s="6"/>
      <c r="S48" s="6"/>
      <c r="T48" s="6"/>
      <c r="U48" s="6"/>
      <c r="V48" s="6"/>
      <c r="W48" s="6"/>
      <c r="X48" s="6"/>
    </row>
    <row r="49" spans="2:24" ht="22.95" customHeight="1" x14ac:dyDescent="0.2">
      <c r="B49" s="15" t="s">
        <v>256</v>
      </c>
      <c r="C49" s="3" t="s">
        <v>257</v>
      </c>
      <c r="D49" s="15" t="s">
        <v>258</v>
      </c>
      <c r="E49" s="3" t="s">
        <v>49</v>
      </c>
      <c r="F49" s="3" t="s">
        <v>50</v>
      </c>
      <c r="G49" s="3" t="s">
        <v>51</v>
      </c>
      <c r="H49" s="3" t="s">
        <v>35</v>
      </c>
      <c r="I49" s="3" t="s">
        <v>52</v>
      </c>
      <c r="J49" s="3" t="s">
        <v>53</v>
      </c>
      <c r="K49" s="3" t="s">
        <v>54</v>
      </c>
      <c r="L49" s="5"/>
      <c r="M49" s="5"/>
      <c r="N49" s="4">
        <v>7</v>
      </c>
      <c r="O49" s="5"/>
      <c r="P49" s="4">
        <v>7</v>
      </c>
      <c r="Q49" s="6" t="e" cm="1" vm="1">
        <f t="array" ref="Q49">_xlfn._xlws.FILTER([1]График!$R$3:$R$89,([1]График!$F$3:$F$89=F49)*([1]График!$C$3:$C$89=C49))</f>
        <v>#VALUE!</v>
      </c>
      <c r="R49" s="6"/>
      <c r="S49" s="6"/>
      <c r="T49" s="6"/>
      <c r="U49" s="6"/>
      <c r="V49" s="6"/>
      <c r="W49" s="6"/>
      <c r="X49" s="6"/>
    </row>
    <row r="50" spans="2:24" ht="22.95" customHeight="1" x14ac:dyDescent="0.2">
      <c r="B50" s="15" t="s">
        <v>256</v>
      </c>
      <c r="C50" s="3" t="s">
        <v>259</v>
      </c>
      <c r="D50" s="15" t="s">
        <v>260</v>
      </c>
      <c r="E50" s="3" t="s">
        <v>25</v>
      </c>
      <c r="F50" s="3" t="s">
        <v>83</v>
      </c>
      <c r="G50" s="3" t="s">
        <v>84</v>
      </c>
      <c r="H50" s="3" t="s">
        <v>28</v>
      </c>
      <c r="I50" s="3" t="s">
        <v>85</v>
      </c>
      <c r="J50" s="3" t="s">
        <v>86</v>
      </c>
      <c r="K50" s="3" t="s">
        <v>87</v>
      </c>
      <c r="L50" s="5"/>
      <c r="M50" s="5"/>
      <c r="N50" s="4">
        <v>36</v>
      </c>
      <c r="O50" s="5"/>
      <c r="P50" s="4">
        <v>36</v>
      </c>
      <c r="Q50" s="6" t="e" cm="1" vm="1">
        <f t="array" ref="Q50">_xlfn._xlws.FILTER([1]График!$R$3:$R$89,([1]График!$F$3:$F$89=F50)*([1]График!$C$3:$C$89=C50))</f>
        <v>#VALUE!</v>
      </c>
      <c r="R50" s="6"/>
      <c r="S50" s="6"/>
      <c r="T50" s="6"/>
      <c r="U50" s="6"/>
      <c r="V50" s="6"/>
      <c r="W50" s="6"/>
      <c r="X50" s="6"/>
    </row>
    <row r="51" spans="2:24" ht="22.95" customHeight="1" x14ac:dyDescent="0.2">
      <c r="B51" s="15" t="s">
        <v>256</v>
      </c>
      <c r="C51" s="3" t="s">
        <v>261</v>
      </c>
      <c r="D51" s="15" t="s">
        <v>262</v>
      </c>
      <c r="E51" s="3" t="s">
        <v>263</v>
      </c>
      <c r="F51" s="3" t="s">
        <v>264</v>
      </c>
      <c r="G51" s="3" t="s">
        <v>265</v>
      </c>
      <c r="H51" s="3" t="s">
        <v>35</v>
      </c>
      <c r="I51" s="3" t="s">
        <v>52</v>
      </c>
      <c r="J51" s="3" t="s">
        <v>266</v>
      </c>
      <c r="K51" s="3" t="s">
        <v>54</v>
      </c>
      <c r="L51" s="5"/>
      <c r="M51" s="5"/>
      <c r="N51" s="4">
        <v>1</v>
      </c>
      <c r="O51" s="5"/>
      <c r="P51" s="4">
        <v>1</v>
      </c>
      <c r="Q51" s="6" t="e" cm="1" vm="1">
        <f t="array" ref="Q51">_xlfn._xlws.FILTER([1]График!$R$3:$R$89,([1]График!$F$3:$F$89=F51)*([1]График!$C$3:$C$89=C51))</f>
        <v>#VALUE!</v>
      </c>
      <c r="R51" s="6"/>
      <c r="S51" s="6"/>
      <c r="T51" s="6"/>
      <c r="U51" s="6"/>
      <c r="V51" s="6"/>
      <c r="W51" s="6"/>
      <c r="X51" s="6"/>
    </row>
    <row r="52" spans="2:24" ht="22.95" customHeight="1" x14ac:dyDescent="0.2">
      <c r="B52" s="15" t="s">
        <v>256</v>
      </c>
      <c r="C52" s="3" t="s">
        <v>267</v>
      </c>
      <c r="D52" s="15" t="s">
        <v>268</v>
      </c>
      <c r="E52" s="3" t="s">
        <v>25</v>
      </c>
      <c r="F52" s="3" t="s">
        <v>269</v>
      </c>
      <c r="G52" s="3" t="s">
        <v>270</v>
      </c>
      <c r="H52" s="3" t="s">
        <v>28</v>
      </c>
      <c r="I52" s="3" t="s">
        <v>111</v>
      </c>
      <c r="J52" s="3" t="s">
        <v>271</v>
      </c>
      <c r="K52" s="3" t="s">
        <v>87</v>
      </c>
      <c r="L52" s="5"/>
      <c r="M52" s="5"/>
      <c r="N52" s="4">
        <v>9</v>
      </c>
      <c r="O52" s="5"/>
      <c r="P52" s="4">
        <v>9</v>
      </c>
      <c r="Q52" s="6" t="e" cm="1" vm="1">
        <f t="array" ref="Q52">_xlfn._xlws.FILTER([1]График!$R$3:$R$89,([1]График!$F$3:$F$89=F52)*([1]График!$C$3:$C$89=C52))</f>
        <v>#VALUE!</v>
      </c>
      <c r="R52" s="6"/>
      <c r="S52" s="6"/>
      <c r="T52" s="6"/>
      <c r="U52" s="6"/>
      <c r="V52" s="6"/>
      <c r="W52" s="6"/>
      <c r="X52" s="6"/>
    </row>
    <row r="53" spans="2:24" ht="22.95" customHeight="1" x14ac:dyDescent="0.2">
      <c r="B53" s="15" t="s">
        <v>256</v>
      </c>
      <c r="C53" s="3" t="s">
        <v>272</v>
      </c>
      <c r="D53" s="15" t="s">
        <v>273</v>
      </c>
      <c r="E53" s="3" t="s">
        <v>25</v>
      </c>
      <c r="F53" s="3" t="s">
        <v>269</v>
      </c>
      <c r="G53" s="3" t="s">
        <v>270</v>
      </c>
      <c r="H53" s="3" t="s">
        <v>28</v>
      </c>
      <c r="I53" s="3" t="s">
        <v>111</v>
      </c>
      <c r="J53" s="3" t="s">
        <v>271</v>
      </c>
      <c r="K53" s="3" t="s">
        <v>87</v>
      </c>
      <c r="L53" s="4">
        <v>34</v>
      </c>
      <c r="M53" s="4">
        <v>34</v>
      </c>
      <c r="N53" s="4">
        <v>19</v>
      </c>
      <c r="O53" s="5"/>
      <c r="P53" s="4">
        <v>19</v>
      </c>
      <c r="Q53" s="6" t="e" cm="1" vm="1">
        <f t="array" ref="Q53">_xlfn._xlws.FILTER([1]График!$R$3:$R$89,([1]График!$F$3:$F$89=F53)*([1]График!$C$3:$C$89=C53))</f>
        <v>#VALUE!</v>
      </c>
      <c r="R53" s="6"/>
      <c r="S53" s="6"/>
      <c r="T53" s="6"/>
      <c r="U53" s="6"/>
      <c r="V53" s="6"/>
      <c r="W53" s="6"/>
      <c r="X53" s="6"/>
    </row>
    <row r="54" spans="2:24" ht="22.95" customHeight="1" x14ac:dyDescent="0.2">
      <c r="B54" s="15" t="s">
        <v>256</v>
      </c>
      <c r="C54" s="3" t="s">
        <v>274</v>
      </c>
      <c r="D54" s="15" t="s">
        <v>275</v>
      </c>
      <c r="E54" s="3" t="s">
        <v>25</v>
      </c>
      <c r="F54" s="3" t="s">
        <v>83</v>
      </c>
      <c r="G54" s="3" t="s">
        <v>84</v>
      </c>
      <c r="H54" s="3" t="s">
        <v>28</v>
      </c>
      <c r="I54" s="3" t="s">
        <v>85</v>
      </c>
      <c r="J54" s="3" t="s">
        <v>86</v>
      </c>
      <c r="K54" s="3" t="s">
        <v>87</v>
      </c>
      <c r="L54" s="5"/>
      <c r="M54" s="5"/>
      <c r="N54" s="4">
        <v>30</v>
      </c>
      <c r="O54" s="5"/>
      <c r="P54" s="4">
        <v>30</v>
      </c>
      <c r="Q54" s="6" t="e" cm="1" vm="1">
        <f t="array" ref="Q54">_xlfn._xlws.FILTER([1]График!$R$3:$R$89,([1]График!$F$3:$F$89=F54)*([1]График!$C$3:$C$89=C54))</f>
        <v>#VALUE!</v>
      </c>
      <c r="R54" s="6"/>
      <c r="S54" s="6"/>
      <c r="T54" s="6"/>
      <c r="U54" s="6"/>
      <c r="V54" s="6"/>
      <c r="W54" s="6"/>
      <c r="X54" s="6"/>
    </row>
    <row r="55" spans="2:24" ht="22.95" customHeight="1" x14ac:dyDescent="0.2">
      <c r="B55" s="15" t="s">
        <v>256</v>
      </c>
      <c r="C55" s="3" t="s">
        <v>276</v>
      </c>
      <c r="D55" s="15" t="s">
        <v>277</v>
      </c>
      <c r="E55" s="3" t="s">
        <v>49</v>
      </c>
      <c r="F55" s="3" t="s">
        <v>50</v>
      </c>
      <c r="G55" s="3" t="s">
        <v>51</v>
      </c>
      <c r="H55" s="3" t="s">
        <v>35</v>
      </c>
      <c r="I55" s="3" t="s">
        <v>52</v>
      </c>
      <c r="J55" s="3" t="s">
        <v>53</v>
      </c>
      <c r="K55" s="3" t="s">
        <v>54</v>
      </c>
      <c r="L55" s="5"/>
      <c r="M55" s="5"/>
      <c r="N55" s="4">
        <v>10</v>
      </c>
      <c r="O55" s="5"/>
      <c r="P55" s="4">
        <v>10</v>
      </c>
      <c r="Q55" s="6" t="e" cm="1" vm="1">
        <f t="array" ref="Q55">_xlfn._xlws.FILTER([1]График!$R$3:$R$89,([1]График!$F$3:$F$89=F55)*([1]График!$C$3:$C$89=C55))</f>
        <v>#VALUE!</v>
      </c>
      <c r="R55" s="6"/>
      <c r="S55" s="6"/>
      <c r="T55" s="6"/>
      <c r="U55" s="6"/>
      <c r="V55" s="6"/>
      <c r="W55" s="6"/>
      <c r="X55" s="6"/>
    </row>
    <row r="56" spans="2:24" ht="22.95" customHeight="1" x14ac:dyDescent="0.2">
      <c r="B56" s="15" t="s">
        <v>278</v>
      </c>
      <c r="C56" s="3" t="s">
        <v>279</v>
      </c>
      <c r="D56" s="15" t="s">
        <v>280</v>
      </c>
      <c r="E56" s="3" t="s">
        <v>210</v>
      </c>
      <c r="F56" s="3" t="s">
        <v>281</v>
      </c>
      <c r="G56" s="3" t="s">
        <v>282</v>
      </c>
      <c r="H56" s="3" t="s">
        <v>70</v>
      </c>
      <c r="I56" s="3" t="s">
        <v>213</v>
      </c>
      <c r="J56" s="3" t="s">
        <v>283</v>
      </c>
      <c r="K56" s="3" t="s">
        <v>79</v>
      </c>
      <c r="L56" s="12">
        <v>7.5</v>
      </c>
      <c r="M56" s="5"/>
      <c r="N56" s="4">
        <v>4</v>
      </c>
      <c r="O56" s="5"/>
      <c r="P56" s="4">
        <v>4</v>
      </c>
      <c r="Q56" s="6" cm="1">
        <f t="array" ref="Q56">_xlfn._xlws.FILTER([1]График!$R$3:$R$89,([1]График!$F$3:$F$89=F56)*([1]График!$C$3:$C$89=C56))</f>
        <v>4</v>
      </c>
      <c r="R56" s="7">
        <v>4</v>
      </c>
      <c r="S56" s="6"/>
      <c r="T56" s="6"/>
      <c r="U56" s="6"/>
      <c r="V56" s="6"/>
      <c r="W56" s="6"/>
      <c r="X56" s="6"/>
    </row>
    <row r="57" spans="2:24" ht="22.95" customHeight="1" x14ac:dyDescent="0.2">
      <c r="B57" s="15" t="s">
        <v>278</v>
      </c>
      <c r="C57" s="3" t="s">
        <v>279</v>
      </c>
      <c r="D57" s="15" t="s">
        <v>280</v>
      </c>
      <c r="E57" s="3" t="s">
        <v>210</v>
      </c>
      <c r="F57" s="3" t="s">
        <v>220</v>
      </c>
      <c r="G57" s="3" t="s">
        <v>221</v>
      </c>
      <c r="H57" s="3" t="s">
        <v>70</v>
      </c>
      <c r="I57" s="3" t="s">
        <v>213</v>
      </c>
      <c r="J57" s="3" t="s">
        <v>222</v>
      </c>
      <c r="K57" s="3" t="s">
        <v>31</v>
      </c>
      <c r="L57" s="12">
        <v>7.5</v>
      </c>
      <c r="M57" s="5"/>
      <c r="N57" s="4">
        <v>6</v>
      </c>
      <c r="O57" s="5"/>
      <c r="P57" s="4">
        <v>6</v>
      </c>
      <c r="Q57" s="6" cm="1">
        <f t="array" ref="Q57">_xlfn._xlws.FILTER([1]График!$R$3:$R$89,([1]График!$F$3:$F$89=F57)*([1]График!$C$3:$C$89=C57))</f>
        <v>6</v>
      </c>
      <c r="R57" s="7">
        <v>6</v>
      </c>
      <c r="S57" s="6"/>
      <c r="T57" s="6"/>
      <c r="U57" s="6"/>
      <c r="V57" s="6"/>
      <c r="W57" s="6"/>
      <c r="X57" s="6"/>
    </row>
    <row r="58" spans="2:24" ht="22.95" customHeight="1" x14ac:dyDescent="0.2">
      <c r="B58" s="15" t="s">
        <v>278</v>
      </c>
      <c r="C58" s="3" t="s">
        <v>279</v>
      </c>
      <c r="D58" s="15" t="s">
        <v>280</v>
      </c>
      <c r="E58" s="3" t="s">
        <v>210</v>
      </c>
      <c r="F58" s="3" t="s">
        <v>225</v>
      </c>
      <c r="G58" s="3" t="s">
        <v>226</v>
      </c>
      <c r="H58" s="3" t="s">
        <v>70</v>
      </c>
      <c r="I58" s="3" t="s">
        <v>213</v>
      </c>
      <c r="J58" s="3" t="s">
        <v>227</v>
      </c>
      <c r="K58" s="3" t="s">
        <v>228</v>
      </c>
      <c r="L58" s="12">
        <v>7.5</v>
      </c>
      <c r="M58" s="4">
        <v>18</v>
      </c>
      <c r="N58" s="4">
        <v>45</v>
      </c>
      <c r="O58" s="5"/>
      <c r="P58" s="4">
        <v>45</v>
      </c>
      <c r="Q58" s="6" cm="1">
        <f t="array" ref="Q58">_xlfn._xlws.FILTER([1]График!$R$3:$R$89,([1]График!$F$3:$F$89=F58)*([1]График!$C$3:$C$89=C58))</f>
        <v>45</v>
      </c>
      <c r="R58" s="7">
        <v>39</v>
      </c>
      <c r="S58" s="6"/>
      <c r="T58" s="6"/>
      <c r="U58" s="6"/>
      <c r="V58" s="6"/>
      <c r="W58" s="6"/>
      <c r="X58" s="6"/>
    </row>
    <row r="59" spans="2:24" ht="22.95" customHeight="1" x14ac:dyDescent="0.2">
      <c r="B59" s="15" t="s">
        <v>278</v>
      </c>
      <c r="C59" s="3" t="s">
        <v>279</v>
      </c>
      <c r="D59" s="15" t="s">
        <v>280</v>
      </c>
      <c r="E59" s="3" t="s">
        <v>210</v>
      </c>
      <c r="F59" s="3" t="s">
        <v>215</v>
      </c>
      <c r="G59" s="3" t="s">
        <v>216</v>
      </c>
      <c r="H59" s="3" t="s">
        <v>70</v>
      </c>
      <c r="I59" s="3" t="s">
        <v>213</v>
      </c>
      <c r="J59" s="3" t="s">
        <v>217</v>
      </c>
      <c r="K59" s="3" t="s">
        <v>31</v>
      </c>
      <c r="L59" s="12">
        <v>7.5</v>
      </c>
      <c r="M59" s="5"/>
      <c r="N59" s="4">
        <v>42</v>
      </c>
      <c r="O59" s="5"/>
      <c r="P59" s="4">
        <v>42</v>
      </c>
      <c r="Q59" s="6" cm="1">
        <f t="array" ref="Q59">_xlfn._xlws.FILTER([1]График!$R$3:$R$89,([1]График!$F$3:$F$89=F59)*([1]График!$C$3:$C$89=C59))</f>
        <v>42</v>
      </c>
      <c r="R59" s="6"/>
      <c r="S59" s="6"/>
      <c r="T59" s="7">
        <v>42</v>
      </c>
      <c r="U59" s="6"/>
      <c r="V59" s="6"/>
      <c r="W59" s="6"/>
      <c r="X59" s="6"/>
    </row>
    <row r="60" spans="2:24" ht="22.95" customHeight="1" x14ac:dyDescent="0.2">
      <c r="B60" s="15" t="s">
        <v>278</v>
      </c>
      <c r="C60" s="3" t="s">
        <v>284</v>
      </c>
      <c r="D60" s="15" t="s">
        <v>285</v>
      </c>
      <c r="E60" s="3" t="s">
        <v>210</v>
      </c>
      <c r="F60" s="3" t="s">
        <v>215</v>
      </c>
      <c r="G60" s="3" t="s">
        <v>216</v>
      </c>
      <c r="H60" s="3" t="s">
        <v>70</v>
      </c>
      <c r="I60" s="3" t="s">
        <v>213</v>
      </c>
      <c r="J60" s="3" t="s">
        <v>217</v>
      </c>
      <c r="K60" s="3" t="s">
        <v>31</v>
      </c>
      <c r="L60" s="11">
        <v>50.34</v>
      </c>
      <c r="M60" s="5"/>
      <c r="N60" s="4">
        <v>60</v>
      </c>
      <c r="O60" s="5"/>
      <c r="P60" s="4">
        <v>60</v>
      </c>
      <c r="Q60" s="6" cm="1">
        <f t="array" ref="Q60">_xlfn._xlws.FILTER([1]График!$R$3:$R$89,([1]График!$F$3:$F$89=F60)*([1]График!$C$3:$C$89=C60))</f>
        <v>60</v>
      </c>
      <c r="R60" s="6"/>
      <c r="S60" s="7">
        <v>60</v>
      </c>
      <c r="T60" s="6"/>
      <c r="U60" s="6"/>
      <c r="V60" s="6"/>
      <c r="W60" s="6"/>
      <c r="X60" s="6"/>
    </row>
    <row r="61" spans="2:24" ht="22.95" customHeight="1" x14ac:dyDescent="0.2">
      <c r="B61" s="15" t="s">
        <v>278</v>
      </c>
      <c r="C61" s="3" t="s">
        <v>284</v>
      </c>
      <c r="D61" s="15" t="s">
        <v>285</v>
      </c>
      <c r="E61" s="3" t="s">
        <v>210</v>
      </c>
      <c r="F61" s="3" t="s">
        <v>211</v>
      </c>
      <c r="G61" s="3" t="s">
        <v>212</v>
      </c>
      <c r="H61" s="3" t="s">
        <v>70</v>
      </c>
      <c r="I61" s="3" t="s">
        <v>213</v>
      </c>
      <c r="J61" s="3" t="s">
        <v>214</v>
      </c>
      <c r="K61" s="3" t="s">
        <v>31</v>
      </c>
      <c r="L61" s="11">
        <v>50.33</v>
      </c>
      <c r="M61" s="5"/>
      <c r="N61" s="4">
        <v>36</v>
      </c>
      <c r="O61" s="5"/>
      <c r="P61" s="4">
        <v>36</v>
      </c>
      <c r="Q61" s="6" cm="1">
        <f t="array" ref="Q61">_xlfn._xlws.FILTER([1]График!$R$3:$R$89,([1]График!$F$3:$F$89=F61)*([1]График!$C$3:$C$89=C61))</f>
        <v>36</v>
      </c>
      <c r="R61" s="6"/>
      <c r="S61" s="6"/>
      <c r="T61" s="7">
        <v>35</v>
      </c>
      <c r="U61" s="7">
        <v>1</v>
      </c>
      <c r="V61" s="6"/>
      <c r="W61" s="6"/>
      <c r="X61" s="6"/>
    </row>
    <row r="62" spans="2:24" ht="22.95" customHeight="1" x14ac:dyDescent="0.2">
      <c r="B62" s="15" t="s">
        <v>278</v>
      </c>
      <c r="C62" s="3" t="s">
        <v>284</v>
      </c>
      <c r="D62" s="15" t="s">
        <v>285</v>
      </c>
      <c r="E62" s="3" t="s">
        <v>210</v>
      </c>
      <c r="F62" s="3" t="s">
        <v>286</v>
      </c>
      <c r="G62" s="3" t="s">
        <v>287</v>
      </c>
      <c r="H62" s="3" t="s">
        <v>70</v>
      </c>
      <c r="I62" s="3" t="s">
        <v>213</v>
      </c>
      <c r="J62" s="3" t="s">
        <v>288</v>
      </c>
      <c r="K62" s="3" t="s">
        <v>31</v>
      </c>
      <c r="L62" s="11">
        <v>50.33</v>
      </c>
      <c r="M62" s="5"/>
      <c r="N62" s="4">
        <v>19</v>
      </c>
      <c r="O62" s="5"/>
      <c r="P62" s="4">
        <v>19</v>
      </c>
      <c r="Q62" s="6" cm="1">
        <f t="array" ref="Q62">_xlfn._xlws.FILTER([1]График!$R$3:$R$89,([1]График!$F$3:$F$89=F62)*([1]График!$C$3:$C$89=C62))</f>
        <v>19</v>
      </c>
      <c r="R62" s="6"/>
      <c r="S62" s="6"/>
      <c r="T62" s="7">
        <v>19</v>
      </c>
      <c r="U62" s="6"/>
      <c r="V62" s="6"/>
      <c r="W62" s="6"/>
      <c r="X62" s="6"/>
    </row>
    <row r="63" spans="2:24" ht="22.95" customHeight="1" x14ac:dyDescent="0.2">
      <c r="B63" s="15" t="s">
        <v>278</v>
      </c>
      <c r="C63" s="3" t="s">
        <v>289</v>
      </c>
      <c r="D63" s="15" t="s">
        <v>290</v>
      </c>
      <c r="E63" s="3" t="s">
        <v>210</v>
      </c>
      <c r="F63" s="3" t="s">
        <v>286</v>
      </c>
      <c r="G63" s="3" t="s">
        <v>287</v>
      </c>
      <c r="H63" s="3" t="s">
        <v>70</v>
      </c>
      <c r="I63" s="3" t="s">
        <v>213</v>
      </c>
      <c r="J63" s="3" t="s">
        <v>288</v>
      </c>
      <c r="K63" s="3" t="s">
        <v>31</v>
      </c>
      <c r="L63" s="4">
        <v>6</v>
      </c>
      <c r="M63" s="5"/>
      <c r="N63" s="4">
        <v>8</v>
      </c>
      <c r="O63" s="5"/>
      <c r="P63" s="4">
        <v>8</v>
      </c>
      <c r="Q63" s="6" t="e" cm="1" vm="1">
        <f t="array" ref="Q63">_xlfn._xlws.FILTER([1]График!$R$3:$R$89,([1]График!$F$3:$F$89=F63)*([1]График!$C$3:$C$89=C63))</f>
        <v>#VALUE!</v>
      </c>
      <c r="R63" s="6"/>
      <c r="S63" s="6"/>
      <c r="T63" s="7">
        <v>8</v>
      </c>
      <c r="U63" s="6"/>
      <c r="V63" s="6"/>
      <c r="W63" s="6"/>
      <c r="X63" s="6"/>
    </row>
    <row r="64" spans="2:24" ht="22.95" customHeight="1" x14ac:dyDescent="0.2">
      <c r="B64" s="15" t="s">
        <v>278</v>
      </c>
      <c r="C64" s="3" t="s">
        <v>289</v>
      </c>
      <c r="D64" s="15" t="s">
        <v>290</v>
      </c>
      <c r="E64" s="3" t="s">
        <v>210</v>
      </c>
      <c r="F64" s="3" t="s">
        <v>220</v>
      </c>
      <c r="G64" s="3" t="s">
        <v>221</v>
      </c>
      <c r="H64" s="3" t="s">
        <v>70</v>
      </c>
      <c r="I64" s="3" t="s">
        <v>213</v>
      </c>
      <c r="J64" s="3" t="s">
        <v>222</v>
      </c>
      <c r="K64" s="3" t="s">
        <v>31</v>
      </c>
      <c r="L64" s="4">
        <v>6</v>
      </c>
      <c r="M64" s="5"/>
      <c r="N64" s="4">
        <v>9</v>
      </c>
      <c r="O64" s="5"/>
      <c r="P64" s="4">
        <v>9</v>
      </c>
      <c r="Q64" s="6" t="e" cm="1" vm="1">
        <f t="array" ref="Q64">_xlfn._xlws.FILTER([1]График!$R$3:$R$89,([1]График!$F$3:$F$89=F64)*([1]График!$C$3:$C$89=C64))</f>
        <v>#VALUE!</v>
      </c>
      <c r="R64" s="6"/>
      <c r="S64" s="7">
        <v>9</v>
      </c>
      <c r="T64" s="6"/>
      <c r="U64" s="6"/>
      <c r="V64" s="6"/>
      <c r="W64" s="6"/>
      <c r="X64" s="6"/>
    </row>
    <row r="65" spans="2:24" ht="22.95" customHeight="1" x14ac:dyDescent="0.2">
      <c r="B65" s="15" t="s">
        <v>278</v>
      </c>
      <c r="C65" s="3" t="s">
        <v>289</v>
      </c>
      <c r="D65" s="15" t="s">
        <v>290</v>
      </c>
      <c r="E65" s="3" t="s">
        <v>210</v>
      </c>
      <c r="F65" s="3" t="s">
        <v>215</v>
      </c>
      <c r="G65" s="3" t="s">
        <v>216</v>
      </c>
      <c r="H65" s="3" t="s">
        <v>70</v>
      </c>
      <c r="I65" s="3" t="s">
        <v>213</v>
      </c>
      <c r="J65" s="3" t="s">
        <v>217</v>
      </c>
      <c r="K65" s="3" t="s">
        <v>31</v>
      </c>
      <c r="L65" s="4">
        <v>6</v>
      </c>
      <c r="M65" s="5"/>
      <c r="N65" s="4">
        <v>4</v>
      </c>
      <c r="O65" s="5"/>
      <c r="P65" s="4">
        <v>4</v>
      </c>
      <c r="Q65" s="6" t="e" cm="1" vm="1">
        <f t="array" ref="Q65">_xlfn._xlws.FILTER([1]График!$R$3:$R$89,([1]График!$F$3:$F$89=F65)*([1]График!$C$3:$C$89=C65))</f>
        <v>#VALUE!</v>
      </c>
      <c r="R65" s="6"/>
      <c r="S65" s="6"/>
      <c r="T65" s="7">
        <v>4</v>
      </c>
      <c r="U65" s="6"/>
      <c r="V65" s="6"/>
      <c r="W65" s="6"/>
      <c r="X65" s="6"/>
    </row>
    <row r="66" spans="2:24" ht="22.95" customHeight="1" x14ac:dyDescent="0.2">
      <c r="B66" s="15" t="s">
        <v>278</v>
      </c>
      <c r="C66" s="3" t="s">
        <v>289</v>
      </c>
      <c r="D66" s="15" t="s">
        <v>290</v>
      </c>
      <c r="E66" s="3" t="s">
        <v>210</v>
      </c>
      <c r="F66" s="3" t="s">
        <v>235</v>
      </c>
      <c r="G66" s="3" t="s">
        <v>236</v>
      </c>
      <c r="H66" s="3" t="s">
        <v>70</v>
      </c>
      <c r="I66" s="3" t="s">
        <v>213</v>
      </c>
      <c r="J66" s="3" t="s">
        <v>237</v>
      </c>
      <c r="K66" s="3" t="s">
        <v>31</v>
      </c>
      <c r="L66" s="4">
        <v>6</v>
      </c>
      <c r="M66" s="5"/>
      <c r="N66" s="4">
        <v>10</v>
      </c>
      <c r="O66" s="5"/>
      <c r="P66" s="4">
        <v>10</v>
      </c>
      <c r="Q66" s="6" t="e" cm="1" vm="1">
        <f t="array" ref="Q66">_xlfn._xlws.FILTER([1]График!$R$3:$R$89,([1]График!$F$3:$F$89=F66)*([1]График!$C$3:$C$89=C66))</f>
        <v>#VALUE!</v>
      </c>
      <c r="R66" s="7">
        <v>10</v>
      </c>
      <c r="S66" s="6"/>
      <c r="T66" s="6"/>
      <c r="U66" s="6"/>
      <c r="V66" s="6"/>
      <c r="W66" s="6"/>
      <c r="X66" s="6"/>
    </row>
    <row r="67" spans="2:24" ht="22.95" customHeight="1" x14ac:dyDescent="0.2">
      <c r="B67" s="15" t="s">
        <v>278</v>
      </c>
      <c r="C67" s="3" t="s">
        <v>291</v>
      </c>
      <c r="D67" s="15" t="s">
        <v>292</v>
      </c>
      <c r="E67" s="3" t="s">
        <v>210</v>
      </c>
      <c r="F67" s="3" t="s">
        <v>220</v>
      </c>
      <c r="G67" s="3" t="s">
        <v>221</v>
      </c>
      <c r="H67" s="3" t="s">
        <v>70</v>
      </c>
      <c r="I67" s="3" t="s">
        <v>213</v>
      </c>
      <c r="J67" s="3" t="s">
        <v>222</v>
      </c>
      <c r="K67" s="3" t="s">
        <v>31</v>
      </c>
      <c r="L67" s="5"/>
      <c r="M67" s="5"/>
      <c r="N67" s="4">
        <v>3</v>
      </c>
      <c r="O67" s="5"/>
      <c r="P67" s="4">
        <v>3</v>
      </c>
      <c r="Q67" s="6" t="e" cm="1" vm="1">
        <f t="array" ref="Q67">_xlfn._xlws.FILTER([1]График!$R$3:$R$89,([1]График!$F$3:$F$89=F67)*([1]График!$C$3:$C$89=C67))</f>
        <v>#VALUE!</v>
      </c>
      <c r="R67" s="6"/>
      <c r="S67" s="7">
        <v>3</v>
      </c>
      <c r="T67" s="6"/>
      <c r="U67" s="6"/>
      <c r="V67" s="6"/>
      <c r="W67" s="6"/>
      <c r="X67" s="6"/>
    </row>
    <row r="68" spans="2:24" ht="22.95" customHeight="1" x14ac:dyDescent="0.2">
      <c r="B68" s="15" t="s">
        <v>278</v>
      </c>
      <c r="C68" s="3" t="s">
        <v>293</v>
      </c>
      <c r="D68" s="15" t="s">
        <v>294</v>
      </c>
      <c r="E68" s="3" t="s">
        <v>210</v>
      </c>
      <c r="F68" s="3" t="s">
        <v>295</v>
      </c>
      <c r="G68" s="3" t="s">
        <v>296</v>
      </c>
      <c r="H68" s="3" t="s">
        <v>70</v>
      </c>
      <c r="I68" s="3" t="s">
        <v>213</v>
      </c>
      <c r="J68" s="3" t="s">
        <v>297</v>
      </c>
      <c r="K68" s="3" t="s">
        <v>298</v>
      </c>
      <c r="L68" s="11">
        <v>5.85</v>
      </c>
      <c r="M68" s="5"/>
      <c r="N68" s="4">
        <v>75</v>
      </c>
      <c r="O68" s="5"/>
      <c r="P68" s="4">
        <v>75</v>
      </c>
      <c r="Q68" s="6" cm="1">
        <f t="array" ref="Q68">_xlfn._xlws.FILTER([1]График!$R$3:$R$89,([1]График!$F$3:$F$89=F68)*([1]График!$C$3:$C$89=C68))</f>
        <v>75</v>
      </c>
      <c r="R68" s="6"/>
      <c r="S68" s="6"/>
      <c r="T68" s="6"/>
      <c r="U68" s="6"/>
      <c r="V68" s="6"/>
      <c r="W68" s="6"/>
      <c r="X68" s="6"/>
    </row>
    <row r="69" spans="2:24" ht="22.95" customHeight="1" x14ac:dyDescent="0.2">
      <c r="B69" s="15" t="s">
        <v>278</v>
      </c>
      <c r="C69" s="3" t="s">
        <v>293</v>
      </c>
      <c r="D69" s="15" t="s">
        <v>294</v>
      </c>
      <c r="E69" s="3" t="s">
        <v>210</v>
      </c>
      <c r="F69" s="3" t="s">
        <v>225</v>
      </c>
      <c r="G69" s="3" t="s">
        <v>226</v>
      </c>
      <c r="H69" s="3" t="s">
        <v>70</v>
      </c>
      <c r="I69" s="3" t="s">
        <v>213</v>
      </c>
      <c r="J69" s="3" t="s">
        <v>227</v>
      </c>
      <c r="K69" s="3" t="s">
        <v>228</v>
      </c>
      <c r="L69" s="11">
        <v>5.83</v>
      </c>
      <c r="M69" s="5"/>
      <c r="N69" s="4">
        <v>56</v>
      </c>
      <c r="O69" s="5"/>
      <c r="P69" s="4">
        <v>56</v>
      </c>
      <c r="Q69" s="6" t="e" cm="1" vm="1">
        <f t="array" ref="Q69">_xlfn._xlws.FILTER([1]График!$R$3:$R$89,([1]График!$F$3:$F$89=F69)*([1]График!$C$3:$C$89=C69))</f>
        <v>#VALUE!</v>
      </c>
      <c r="R69" s="7">
        <v>56</v>
      </c>
      <c r="S69" s="6"/>
      <c r="T69" s="6"/>
      <c r="U69" s="6"/>
      <c r="V69" s="6"/>
      <c r="W69" s="6"/>
      <c r="X69" s="6"/>
    </row>
    <row r="70" spans="2:24" ht="22.95" customHeight="1" x14ac:dyDescent="0.2">
      <c r="B70" s="15" t="s">
        <v>278</v>
      </c>
      <c r="C70" s="3" t="s">
        <v>293</v>
      </c>
      <c r="D70" s="15" t="s">
        <v>294</v>
      </c>
      <c r="E70" s="3" t="s">
        <v>210</v>
      </c>
      <c r="F70" s="3" t="s">
        <v>229</v>
      </c>
      <c r="G70" s="3" t="s">
        <v>230</v>
      </c>
      <c r="H70" s="3" t="s">
        <v>70</v>
      </c>
      <c r="I70" s="3" t="s">
        <v>213</v>
      </c>
      <c r="J70" s="3" t="s">
        <v>231</v>
      </c>
      <c r="K70" s="3" t="s">
        <v>47</v>
      </c>
      <c r="L70" s="11">
        <v>5.83</v>
      </c>
      <c r="M70" s="5"/>
      <c r="N70" s="4">
        <v>11</v>
      </c>
      <c r="O70" s="5"/>
      <c r="P70" s="4">
        <v>11</v>
      </c>
      <c r="Q70" s="6" t="e" cm="1" vm="1">
        <f t="array" ref="Q70">_xlfn._xlws.FILTER([1]График!$R$3:$R$89,([1]График!$F$3:$F$89=F70)*([1]График!$C$3:$C$89=C70))</f>
        <v>#VALUE!</v>
      </c>
      <c r="R70" s="7">
        <v>11</v>
      </c>
      <c r="S70" s="6"/>
      <c r="T70" s="6"/>
      <c r="U70" s="6"/>
      <c r="V70" s="6"/>
      <c r="W70" s="6"/>
      <c r="X70" s="6"/>
    </row>
    <row r="71" spans="2:24" ht="22.95" customHeight="1" x14ac:dyDescent="0.2">
      <c r="B71" s="15" t="s">
        <v>278</v>
      </c>
      <c r="C71" s="3" t="s">
        <v>293</v>
      </c>
      <c r="D71" s="15" t="s">
        <v>294</v>
      </c>
      <c r="E71" s="3" t="s">
        <v>210</v>
      </c>
      <c r="F71" s="3" t="s">
        <v>220</v>
      </c>
      <c r="G71" s="3" t="s">
        <v>221</v>
      </c>
      <c r="H71" s="3" t="s">
        <v>70</v>
      </c>
      <c r="I71" s="3" t="s">
        <v>213</v>
      </c>
      <c r="J71" s="3" t="s">
        <v>222</v>
      </c>
      <c r="K71" s="3" t="s">
        <v>31</v>
      </c>
      <c r="L71" s="11">
        <v>5.83</v>
      </c>
      <c r="M71" s="5"/>
      <c r="N71" s="4">
        <v>33</v>
      </c>
      <c r="O71" s="5"/>
      <c r="P71" s="4">
        <v>33</v>
      </c>
      <c r="Q71" s="6" t="e" cm="1" vm="1">
        <f t="array" ref="Q71">_xlfn._xlws.FILTER([1]График!$R$3:$R$89,([1]График!$F$3:$F$89=F71)*([1]График!$C$3:$C$89=C71))</f>
        <v>#VALUE!</v>
      </c>
      <c r="R71" s="7">
        <v>23</v>
      </c>
      <c r="S71" s="7">
        <v>10</v>
      </c>
      <c r="T71" s="6"/>
      <c r="U71" s="6"/>
      <c r="V71" s="6"/>
      <c r="W71" s="6"/>
      <c r="X71" s="6"/>
    </row>
    <row r="72" spans="2:24" ht="22.95" customHeight="1" x14ac:dyDescent="0.2">
      <c r="B72" s="15" t="s">
        <v>278</v>
      </c>
      <c r="C72" s="3" t="s">
        <v>293</v>
      </c>
      <c r="D72" s="15" t="s">
        <v>294</v>
      </c>
      <c r="E72" s="3" t="s">
        <v>210</v>
      </c>
      <c r="F72" s="3" t="s">
        <v>215</v>
      </c>
      <c r="G72" s="3" t="s">
        <v>216</v>
      </c>
      <c r="H72" s="3" t="s">
        <v>70</v>
      </c>
      <c r="I72" s="3" t="s">
        <v>213</v>
      </c>
      <c r="J72" s="3" t="s">
        <v>217</v>
      </c>
      <c r="K72" s="3" t="s">
        <v>31</v>
      </c>
      <c r="L72" s="11">
        <v>5.83</v>
      </c>
      <c r="M72" s="5"/>
      <c r="N72" s="4">
        <v>64</v>
      </c>
      <c r="O72" s="5"/>
      <c r="P72" s="4">
        <v>64</v>
      </c>
      <c r="Q72" s="6" t="e" cm="1" vm="1">
        <f t="array" ref="Q72">_xlfn._xlws.FILTER([1]График!$R$3:$R$89,([1]График!$F$3:$F$89=F72)*([1]График!$C$3:$C$89=C72))</f>
        <v>#VALUE!</v>
      </c>
      <c r="R72" s="6"/>
      <c r="S72" s="7">
        <v>53</v>
      </c>
      <c r="T72" s="7">
        <v>11</v>
      </c>
      <c r="U72" s="6"/>
      <c r="V72" s="6"/>
      <c r="W72" s="6"/>
      <c r="X72" s="6"/>
    </row>
    <row r="73" spans="2:24" ht="22.95" customHeight="1" x14ac:dyDescent="0.2">
      <c r="B73" s="15" t="s">
        <v>278</v>
      </c>
      <c r="C73" s="3" t="s">
        <v>293</v>
      </c>
      <c r="D73" s="15" t="s">
        <v>294</v>
      </c>
      <c r="E73" s="3" t="s">
        <v>210</v>
      </c>
      <c r="F73" s="3" t="s">
        <v>211</v>
      </c>
      <c r="G73" s="3" t="s">
        <v>212</v>
      </c>
      <c r="H73" s="3" t="s">
        <v>70</v>
      </c>
      <c r="I73" s="3" t="s">
        <v>213</v>
      </c>
      <c r="J73" s="3" t="s">
        <v>214</v>
      </c>
      <c r="K73" s="3" t="s">
        <v>31</v>
      </c>
      <c r="L73" s="11">
        <v>5.83</v>
      </c>
      <c r="M73" s="5"/>
      <c r="N73" s="4">
        <v>1</v>
      </c>
      <c r="O73" s="5"/>
      <c r="P73" s="4">
        <v>1</v>
      </c>
      <c r="Q73" s="6" t="e" cm="1" vm="1">
        <f t="array" ref="Q73">_xlfn._xlws.FILTER([1]График!$R$3:$R$89,([1]График!$F$3:$F$89=F73)*([1]График!$C$3:$C$89=C73))</f>
        <v>#VALUE!</v>
      </c>
      <c r="R73" s="6"/>
      <c r="S73" s="6"/>
      <c r="T73" s="7">
        <v>1</v>
      </c>
      <c r="U73" s="6"/>
      <c r="V73" s="6"/>
      <c r="W73" s="6"/>
      <c r="X73" s="6"/>
    </row>
    <row r="74" spans="2:24" ht="22.95" customHeight="1" x14ac:dyDescent="0.2">
      <c r="B74" s="15" t="s">
        <v>278</v>
      </c>
      <c r="C74" s="3" t="s">
        <v>299</v>
      </c>
      <c r="D74" s="15" t="s">
        <v>300</v>
      </c>
      <c r="E74" s="3" t="s">
        <v>210</v>
      </c>
      <c r="F74" s="3" t="s">
        <v>220</v>
      </c>
      <c r="G74" s="3" t="s">
        <v>221</v>
      </c>
      <c r="H74" s="3" t="s">
        <v>70</v>
      </c>
      <c r="I74" s="3" t="s">
        <v>213</v>
      </c>
      <c r="J74" s="3" t="s">
        <v>222</v>
      </c>
      <c r="K74" s="3" t="s">
        <v>31</v>
      </c>
      <c r="L74" s="5"/>
      <c r="M74" s="5"/>
      <c r="N74" s="4">
        <v>15</v>
      </c>
      <c r="O74" s="5"/>
      <c r="P74" s="4">
        <v>15</v>
      </c>
      <c r="Q74" s="6" t="e" cm="1" vm="1">
        <f t="array" ref="Q74">_xlfn._xlws.FILTER([1]График!$R$3:$R$89,([1]График!$F$3:$F$89=F74)*([1]График!$C$3:$C$89=C74))</f>
        <v>#VALUE!</v>
      </c>
      <c r="R74" s="6"/>
      <c r="S74" s="7">
        <v>15</v>
      </c>
      <c r="T74" s="6"/>
      <c r="U74" s="6"/>
      <c r="V74" s="6"/>
      <c r="W74" s="6"/>
      <c r="X74" s="6"/>
    </row>
    <row r="75" spans="2:24" ht="22.95" customHeight="1" x14ac:dyDescent="0.2">
      <c r="B75" s="15" t="s">
        <v>278</v>
      </c>
      <c r="C75" s="3" t="s">
        <v>299</v>
      </c>
      <c r="D75" s="15" t="s">
        <v>300</v>
      </c>
      <c r="E75" s="3" t="s">
        <v>210</v>
      </c>
      <c r="F75" s="3" t="s">
        <v>295</v>
      </c>
      <c r="G75" s="3" t="s">
        <v>296</v>
      </c>
      <c r="H75" s="3" t="s">
        <v>70</v>
      </c>
      <c r="I75" s="3" t="s">
        <v>213</v>
      </c>
      <c r="J75" s="3" t="s">
        <v>297</v>
      </c>
      <c r="K75" s="3" t="s">
        <v>298</v>
      </c>
      <c r="L75" s="5"/>
      <c r="M75" s="5"/>
      <c r="N75" s="4">
        <v>20</v>
      </c>
      <c r="O75" s="5"/>
      <c r="P75" s="4">
        <v>20</v>
      </c>
      <c r="Q75" s="6" cm="1">
        <f t="array" ref="Q75">_xlfn._xlws.FILTER([1]График!$R$3:$R$89,([1]График!$F$3:$F$89=F75)*([1]График!$C$3:$C$89=C75))</f>
        <v>20</v>
      </c>
      <c r="R75" s="6"/>
      <c r="S75" s="6"/>
      <c r="T75" s="6"/>
      <c r="U75" s="6"/>
      <c r="V75" s="6"/>
      <c r="W75" s="6"/>
      <c r="X75" s="6"/>
    </row>
    <row r="76" spans="2:24" ht="22.95" customHeight="1" x14ac:dyDescent="0.2">
      <c r="B76" s="15" t="s">
        <v>278</v>
      </c>
      <c r="C76" s="3" t="s">
        <v>299</v>
      </c>
      <c r="D76" s="15" t="s">
        <v>300</v>
      </c>
      <c r="E76" s="3" t="s">
        <v>210</v>
      </c>
      <c r="F76" s="3" t="s">
        <v>225</v>
      </c>
      <c r="G76" s="3" t="s">
        <v>226</v>
      </c>
      <c r="H76" s="3" t="s">
        <v>70</v>
      </c>
      <c r="I76" s="3" t="s">
        <v>213</v>
      </c>
      <c r="J76" s="3" t="s">
        <v>227</v>
      </c>
      <c r="K76" s="3" t="s">
        <v>228</v>
      </c>
      <c r="L76" s="5"/>
      <c r="M76" s="5"/>
      <c r="N76" s="4">
        <v>1</v>
      </c>
      <c r="O76" s="5"/>
      <c r="P76" s="4">
        <v>1</v>
      </c>
      <c r="Q76" s="6" t="e" cm="1" vm="1">
        <f t="array" ref="Q76">_xlfn._xlws.FILTER([1]График!$R$3:$R$89,([1]График!$F$3:$F$89=F76)*([1]График!$C$3:$C$89=C76))</f>
        <v>#VALUE!</v>
      </c>
      <c r="R76" s="7">
        <v>1</v>
      </c>
      <c r="S76" s="6"/>
      <c r="T76" s="6"/>
      <c r="U76" s="6"/>
      <c r="V76" s="6"/>
      <c r="W76" s="6"/>
      <c r="X76" s="6"/>
    </row>
    <row r="77" spans="2:24" ht="22.95" customHeight="1" x14ac:dyDescent="0.2">
      <c r="B77" s="15" t="s">
        <v>278</v>
      </c>
      <c r="C77" s="3" t="s">
        <v>301</v>
      </c>
      <c r="D77" s="15" t="s">
        <v>302</v>
      </c>
      <c r="E77" s="3" t="s">
        <v>263</v>
      </c>
      <c r="F77" s="3" t="s">
        <v>303</v>
      </c>
      <c r="G77" s="3" t="s">
        <v>304</v>
      </c>
      <c r="H77" s="3" t="s">
        <v>35</v>
      </c>
      <c r="I77" s="3" t="s">
        <v>52</v>
      </c>
      <c r="J77" s="3" t="s">
        <v>305</v>
      </c>
      <c r="K77" s="3" t="s">
        <v>54</v>
      </c>
      <c r="L77" s="4">
        <v>1</v>
      </c>
      <c r="M77" s="5"/>
      <c r="N77" s="4">
        <v>20</v>
      </c>
      <c r="O77" s="5"/>
      <c r="P77" s="4">
        <v>20</v>
      </c>
      <c r="Q77" s="6" cm="1">
        <f t="array" ref="Q77">_xlfn._xlws.FILTER([1]График!$R$3:$R$89,([1]График!$F$3:$F$89=F77)*([1]График!$C$3:$C$89=C77))</f>
        <v>20</v>
      </c>
      <c r="R77" s="6"/>
      <c r="S77" s="6"/>
      <c r="T77" s="7">
        <v>20</v>
      </c>
      <c r="U77" s="6"/>
      <c r="V77" s="6"/>
      <c r="W77" s="6"/>
      <c r="X77" s="6"/>
    </row>
    <row r="78" spans="2:24" ht="22.95" customHeight="1" x14ac:dyDescent="0.2">
      <c r="B78" s="15" t="s">
        <v>278</v>
      </c>
      <c r="C78" s="3" t="s">
        <v>306</v>
      </c>
      <c r="D78" s="15" t="s">
        <v>307</v>
      </c>
      <c r="E78" s="3" t="s">
        <v>136</v>
      </c>
      <c r="F78" s="3" t="s">
        <v>308</v>
      </c>
      <c r="G78" s="3" t="s">
        <v>309</v>
      </c>
      <c r="H78" s="3" t="s">
        <v>139</v>
      </c>
      <c r="I78" s="3" t="s">
        <v>140</v>
      </c>
      <c r="J78" s="3" t="s">
        <v>310</v>
      </c>
      <c r="K78" s="3" t="s">
        <v>311</v>
      </c>
      <c r="L78" s="5"/>
      <c r="M78" s="5"/>
      <c r="N78" s="4">
        <v>4</v>
      </c>
      <c r="O78" s="5"/>
      <c r="P78" s="4">
        <v>4</v>
      </c>
      <c r="Q78" s="6" cm="1">
        <f t="array" ref="Q78">_xlfn._xlws.FILTER([1]График!$R$3:$R$89,([1]График!$F$3:$F$89=F78)*([1]График!$C$3:$C$89=C78))</f>
        <v>4</v>
      </c>
      <c r="R78" s="6"/>
      <c r="S78" s="6"/>
      <c r="T78" s="6"/>
      <c r="U78" s="6"/>
      <c r="V78" s="6"/>
      <c r="W78" s="6"/>
      <c r="X78" s="6"/>
    </row>
    <row r="79" spans="2:24" ht="22.95" customHeight="1" x14ac:dyDescent="0.2">
      <c r="B79" s="15" t="s">
        <v>278</v>
      </c>
      <c r="C79" s="3" t="s">
        <v>312</v>
      </c>
      <c r="D79" s="15" t="s">
        <v>313</v>
      </c>
      <c r="E79" s="3" t="s">
        <v>263</v>
      </c>
      <c r="F79" s="3" t="s">
        <v>303</v>
      </c>
      <c r="G79" s="3" t="s">
        <v>304</v>
      </c>
      <c r="H79" s="3" t="s">
        <v>35</v>
      </c>
      <c r="I79" s="3" t="s">
        <v>52</v>
      </c>
      <c r="J79" s="3" t="s">
        <v>305</v>
      </c>
      <c r="K79" s="3" t="s">
        <v>54</v>
      </c>
      <c r="L79" s="5"/>
      <c r="M79" s="5"/>
      <c r="N79" s="4">
        <v>10</v>
      </c>
      <c r="O79" s="5"/>
      <c r="P79" s="4">
        <v>10</v>
      </c>
      <c r="Q79" s="6" cm="1">
        <f t="array" ref="Q79">_xlfn._xlws.FILTER([1]График!$R$3:$R$89,([1]График!$F$3:$F$89=F79)*([1]График!$C$3:$C$89=C79))</f>
        <v>10</v>
      </c>
      <c r="R79" s="6"/>
      <c r="S79" s="6"/>
      <c r="T79" s="7">
        <v>10</v>
      </c>
      <c r="U79" s="6"/>
      <c r="V79" s="6"/>
      <c r="W79" s="6"/>
      <c r="X79" s="6"/>
    </row>
    <row r="80" spans="2:24" ht="22.95" customHeight="1" x14ac:dyDescent="0.2">
      <c r="B80" s="15" t="s">
        <v>278</v>
      </c>
      <c r="C80" s="3" t="s">
        <v>312</v>
      </c>
      <c r="D80" s="15" t="s">
        <v>313</v>
      </c>
      <c r="E80" s="3" t="s">
        <v>314</v>
      </c>
      <c r="F80" s="3" t="s">
        <v>315</v>
      </c>
      <c r="G80" s="3" t="s">
        <v>316</v>
      </c>
      <c r="H80" s="3" t="s">
        <v>35</v>
      </c>
      <c r="I80" s="3" t="s">
        <v>52</v>
      </c>
      <c r="J80" s="3" t="s">
        <v>317</v>
      </c>
      <c r="K80" s="3" t="s">
        <v>31</v>
      </c>
      <c r="L80" s="5"/>
      <c r="M80" s="5"/>
      <c r="N80" s="4">
        <v>5</v>
      </c>
      <c r="O80" s="5"/>
      <c r="P80" s="4">
        <v>5</v>
      </c>
      <c r="Q80" s="6" cm="1">
        <f t="array" ref="Q80">_xlfn._xlws.FILTER([1]График!$R$3:$R$89,([1]График!$F$3:$F$89=F80)*([1]График!$C$3:$C$89=C80))</f>
        <v>5</v>
      </c>
      <c r="R80" s="6"/>
      <c r="S80" s="6"/>
      <c r="T80" s="6"/>
      <c r="U80" s="7">
        <v>5</v>
      </c>
      <c r="V80" s="6"/>
      <c r="W80" s="6"/>
      <c r="X80" s="6"/>
    </row>
    <row r="81" spans="2:24" ht="22.95" customHeight="1" x14ac:dyDescent="0.2">
      <c r="B81" s="15" t="s">
        <v>278</v>
      </c>
      <c r="C81" s="3" t="s">
        <v>318</v>
      </c>
      <c r="D81" s="15" t="s">
        <v>319</v>
      </c>
      <c r="E81" s="3" t="s">
        <v>25</v>
      </c>
      <c r="F81" s="3" t="s">
        <v>320</v>
      </c>
      <c r="G81" s="3" t="s">
        <v>321</v>
      </c>
      <c r="H81" s="3" t="s">
        <v>28</v>
      </c>
      <c r="I81" s="3" t="s">
        <v>90</v>
      </c>
      <c r="J81" s="3" t="s">
        <v>322</v>
      </c>
      <c r="K81" s="3" t="s">
        <v>31</v>
      </c>
      <c r="L81" s="5"/>
      <c r="M81" s="5"/>
      <c r="N81" s="4">
        <v>5</v>
      </c>
      <c r="O81" s="5"/>
      <c r="P81" s="4">
        <v>5</v>
      </c>
      <c r="Q81" s="6" cm="1">
        <f t="array" ref="Q81">_xlfn._xlws.FILTER([1]График!$R$3:$R$89,([1]График!$F$3:$F$89=F81)*([1]График!$C$3:$C$89=C81))</f>
        <v>5</v>
      </c>
      <c r="R81" s="6"/>
      <c r="S81" s="6"/>
      <c r="T81" s="6"/>
      <c r="U81" s="6"/>
      <c r="V81" s="6"/>
      <c r="W81" s="6"/>
      <c r="X81" s="6"/>
    </row>
    <row r="82" spans="2:24" ht="22.95" customHeight="1" x14ac:dyDescent="0.2">
      <c r="B82" s="15" t="s">
        <v>278</v>
      </c>
      <c r="C82" s="3" t="s">
        <v>323</v>
      </c>
      <c r="D82" s="15" t="s">
        <v>324</v>
      </c>
      <c r="E82" s="3" t="s">
        <v>25</v>
      </c>
      <c r="F82" s="3" t="s">
        <v>26</v>
      </c>
      <c r="G82" s="3" t="s">
        <v>27</v>
      </c>
      <c r="H82" s="3" t="s">
        <v>28</v>
      </c>
      <c r="I82" s="3" t="s">
        <v>29</v>
      </c>
      <c r="J82" s="3" t="s">
        <v>30</v>
      </c>
      <c r="K82" s="3" t="s">
        <v>31</v>
      </c>
      <c r="L82" s="5"/>
      <c r="M82" s="5"/>
      <c r="N82" s="4">
        <v>31</v>
      </c>
      <c r="O82" s="5"/>
      <c r="P82" s="4">
        <v>31</v>
      </c>
      <c r="Q82" s="6" cm="1">
        <f t="array" ref="Q82">_xlfn._xlws.FILTER([1]График!$R$3:$R$89,([1]График!$F$3:$F$89=F82)*([1]График!$C$3:$C$89=C82))</f>
        <v>31</v>
      </c>
      <c r="R82" s="6"/>
      <c r="S82" s="6"/>
      <c r="T82" s="6"/>
      <c r="U82" s="6"/>
      <c r="V82" s="6"/>
      <c r="W82" s="6"/>
      <c r="X82" s="6"/>
    </row>
    <row r="83" spans="2:24" ht="22.95" customHeight="1" x14ac:dyDescent="0.2">
      <c r="B83" s="15" t="s">
        <v>278</v>
      </c>
      <c r="C83" s="3" t="s">
        <v>325</v>
      </c>
      <c r="D83" s="15" t="s">
        <v>326</v>
      </c>
      <c r="E83" s="3" t="s">
        <v>25</v>
      </c>
      <c r="F83" s="3" t="s">
        <v>26</v>
      </c>
      <c r="G83" s="3" t="s">
        <v>27</v>
      </c>
      <c r="H83" s="3" t="s">
        <v>28</v>
      </c>
      <c r="I83" s="3" t="s">
        <v>29</v>
      </c>
      <c r="J83" s="3" t="s">
        <v>30</v>
      </c>
      <c r="K83" s="3" t="s">
        <v>31</v>
      </c>
      <c r="L83" s="5"/>
      <c r="M83" s="5"/>
      <c r="N83" s="4">
        <v>9</v>
      </c>
      <c r="O83" s="5"/>
      <c r="P83" s="4">
        <v>9</v>
      </c>
      <c r="Q83" s="6" cm="1">
        <f t="array" ref="Q83">_xlfn._xlws.FILTER([1]График!$R$3:$R$89,([1]График!$F$3:$F$89=F83)*([1]График!$C$3:$C$89=C83))</f>
        <v>9</v>
      </c>
      <c r="R83" s="6"/>
      <c r="S83" s="6"/>
      <c r="T83" s="6"/>
      <c r="U83" s="6"/>
      <c r="V83" s="6"/>
      <c r="W83" s="6"/>
      <c r="X83" s="6"/>
    </row>
    <row r="84" spans="2:24" ht="22.95" customHeight="1" x14ac:dyDescent="0.2">
      <c r="B84" s="15" t="s">
        <v>327</v>
      </c>
      <c r="C84" s="3" t="s">
        <v>328</v>
      </c>
      <c r="D84" s="15" t="s">
        <v>329</v>
      </c>
      <c r="E84" s="3" t="s">
        <v>263</v>
      </c>
      <c r="F84" s="3" t="s">
        <v>303</v>
      </c>
      <c r="G84" s="3" t="s">
        <v>304</v>
      </c>
      <c r="H84" s="3" t="s">
        <v>35</v>
      </c>
      <c r="I84" s="3" t="s">
        <v>52</v>
      </c>
      <c r="J84" s="3" t="s">
        <v>305</v>
      </c>
      <c r="K84" s="3" t="s">
        <v>54</v>
      </c>
      <c r="L84" s="5"/>
      <c r="M84" s="5"/>
      <c r="N84" s="4">
        <v>1</v>
      </c>
      <c r="O84" s="5"/>
      <c r="P84" s="4">
        <v>1</v>
      </c>
      <c r="Q84" s="6" t="e" cm="1" vm="1">
        <f t="array" ref="Q84">_xlfn._xlws.FILTER([1]График!$R$3:$R$89,([1]График!$F$3:$F$89=F84)*([1]График!$C$3:$C$89=C84))</f>
        <v>#VALUE!</v>
      </c>
      <c r="R84" s="6"/>
      <c r="S84" s="6"/>
      <c r="T84" s="6"/>
      <c r="U84" s="6"/>
      <c r="V84" s="6"/>
      <c r="W84" s="6"/>
      <c r="X84" s="6"/>
    </row>
    <row r="85" spans="2:24" ht="22.95" customHeight="1" x14ac:dyDescent="0.2">
      <c r="B85" s="15" t="s">
        <v>327</v>
      </c>
      <c r="C85" s="3" t="s">
        <v>330</v>
      </c>
      <c r="D85" s="15" t="s">
        <v>331</v>
      </c>
      <c r="E85" s="3" t="s">
        <v>332</v>
      </c>
      <c r="F85" s="3" t="s">
        <v>333</v>
      </c>
      <c r="G85" s="3" t="s">
        <v>334</v>
      </c>
      <c r="H85" s="3" t="s">
        <v>35</v>
      </c>
      <c r="I85" s="3" t="s">
        <v>213</v>
      </c>
      <c r="J85" s="3" t="s">
        <v>335</v>
      </c>
      <c r="K85" s="3" t="s">
        <v>105</v>
      </c>
      <c r="L85" s="4">
        <v>28</v>
      </c>
      <c r="M85" s="5"/>
      <c r="N85" s="4">
        <v>12</v>
      </c>
      <c r="O85" s="5"/>
      <c r="P85" s="4">
        <v>12</v>
      </c>
      <c r="Q85" s="6" t="e" cm="1" vm="1">
        <f t="array" ref="Q85">_xlfn._xlws.FILTER([1]График!$R$3:$R$89,([1]График!$F$3:$F$89=F85)*([1]График!$C$3:$C$89=C85))</f>
        <v>#VALUE!</v>
      </c>
      <c r="R85" s="6"/>
      <c r="S85" s="6"/>
      <c r="T85" s="6"/>
      <c r="U85" s="6"/>
      <c r="V85" s="6"/>
      <c r="W85" s="6"/>
      <c r="X85" s="6"/>
    </row>
    <row r="86" spans="2:24" ht="22.95" customHeight="1" x14ac:dyDescent="0.2">
      <c r="B86" s="15" t="s">
        <v>327</v>
      </c>
      <c r="C86" s="3" t="s">
        <v>330</v>
      </c>
      <c r="D86" s="15" t="s">
        <v>331</v>
      </c>
      <c r="E86" s="3" t="s">
        <v>101</v>
      </c>
      <c r="F86" s="3" t="s">
        <v>102</v>
      </c>
      <c r="G86" s="3" t="s">
        <v>103</v>
      </c>
      <c r="H86" s="3" t="s">
        <v>70</v>
      </c>
      <c r="I86" s="3" t="s">
        <v>78</v>
      </c>
      <c r="J86" s="3" t="s">
        <v>104</v>
      </c>
      <c r="K86" s="3" t="s">
        <v>105</v>
      </c>
      <c r="L86" s="4">
        <v>28</v>
      </c>
      <c r="M86" s="4">
        <v>60</v>
      </c>
      <c r="N86" s="4">
        <v>87</v>
      </c>
      <c r="O86" s="5"/>
      <c r="P86" s="4">
        <v>87</v>
      </c>
      <c r="Q86" s="6" t="e" cm="1" vm="1">
        <f t="array" ref="Q86">_xlfn._xlws.FILTER([1]График!$R$3:$R$89,([1]График!$F$3:$F$89=F86)*([1]График!$C$3:$C$89=C86))</f>
        <v>#VALUE!</v>
      </c>
      <c r="R86" s="6"/>
      <c r="S86" s="6"/>
      <c r="T86" s="6"/>
      <c r="U86" s="6"/>
      <c r="V86" s="6"/>
      <c r="W86" s="6"/>
      <c r="X86" s="6"/>
    </row>
    <row r="87" spans="2:24" ht="22.95" customHeight="1" x14ac:dyDescent="0.2">
      <c r="B87" s="15" t="s">
        <v>327</v>
      </c>
      <c r="C87" s="3" t="s">
        <v>330</v>
      </c>
      <c r="D87" s="15" t="s">
        <v>331</v>
      </c>
      <c r="E87" s="3" t="s">
        <v>25</v>
      </c>
      <c r="F87" s="3" t="s">
        <v>83</v>
      </c>
      <c r="G87" s="3" t="s">
        <v>84</v>
      </c>
      <c r="H87" s="3" t="s">
        <v>28</v>
      </c>
      <c r="I87" s="3" t="s">
        <v>85</v>
      </c>
      <c r="J87" s="3" t="s">
        <v>86</v>
      </c>
      <c r="K87" s="3" t="s">
        <v>87</v>
      </c>
      <c r="L87" s="4">
        <v>28</v>
      </c>
      <c r="M87" s="5"/>
      <c r="N87" s="4">
        <v>36</v>
      </c>
      <c r="O87" s="5"/>
      <c r="P87" s="4">
        <v>36</v>
      </c>
      <c r="Q87" s="6" t="e" cm="1" vm="1">
        <f t="array" ref="Q87">_xlfn._xlws.FILTER([1]График!$R$3:$R$89,([1]График!$F$3:$F$89=F87)*([1]График!$C$3:$C$89=C87))</f>
        <v>#VALUE!</v>
      </c>
      <c r="R87" s="6"/>
      <c r="S87" s="6"/>
      <c r="T87" s="6"/>
      <c r="U87" s="6"/>
      <c r="V87" s="6"/>
      <c r="W87" s="6"/>
      <c r="X87" s="6"/>
    </row>
    <row r="88" spans="2:24" ht="22.95" customHeight="1" x14ac:dyDescent="0.2">
      <c r="B88" s="15" t="s">
        <v>327</v>
      </c>
      <c r="C88" s="3" t="s">
        <v>336</v>
      </c>
      <c r="D88" s="15" t="s">
        <v>337</v>
      </c>
      <c r="E88" s="3" t="s">
        <v>338</v>
      </c>
      <c r="F88" s="3" t="s">
        <v>339</v>
      </c>
      <c r="G88" s="3" t="s">
        <v>340</v>
      </c>
      <c r="H88" s="3" t="s">
        <v>70</v>
      </c>
      <c r="I88" s="3" t="s">
        <v>78</v>
      </c>
      <c r="J88" s="3" t="s">
        <v>341</v>
      </c>
      <c r="K88" s="3" t="s">
        <v>66</v>
      </c>
      <c r="L88" s="5"/>
      <c r="M88" s="5"/>
      <c r="N88" s="4">
        <v>2</v>
      </c>
      <c r="O88" s="5"/>
      <c r="P88" s="4">
        <v>2</v>
      </c>
      <c r="Q88" s="6" t="e" cm="1" vm="1">
        <f t="array" ref="Q88">_xlfn._xlws.FILTER([1]График!$R$3:$R$89,([1]График!$F$3:$F$89=F88)*([1]График!$C$3:$C$89=C88))</f>
        <v>#VALUE!</v>
      </c>
      <c r="R88" s="6"/>
      <c r="S88" s="6"/>
      <c r="T88" s="6"/>
      <c r="U88" s="6"/>
      <c r="V88" s="6"/>
      <c r="W88" s="6"/>
      <c r="X88" s="6"/>
    </row>
    <row r="89" spans="2:24" ht="22.95" customHeight="1" x14ac:dyDescent="0.2">
      <c r="B89" s="15" t="s">
        <v>342</v>
      </c>
      <c r="C89" s="3" t="s">
        <v>343</v>
      </c>
      <c r="D89" s="15" t="s">
        <v>344</v>
      </c>
      <c r="E89" s="3" t="s">
        <v>210</v>
      </c>
      <c r="F89" s="3" t="s">
        <v>220</v>
      </c>
      <c r="G89" s="3" t="s">
        <v>221</v>
      </c>
      <c r="H89" s="3" t="s">
        <v>70</v>
      </c>
      <c r="I89" s="3" t="s">
        <v>213</v>
      </c>
      <c r="J89" s="3" t="s">
        <v>222</v>
      </c>
      <c r="K89" s="3" t="s">
        <v>31</v>
      </c>
      <c r="L89" s="11">
        <v>118.34</v>
      </c>
      <c r="M89" s="5"/>
      <c r="N89" s="4">
        <v>58</v>
      </c>
      <c r="O89" s="5"/>
      <c r="P89" s="4">
        <v>58</v>
      </c>
      <c r="Q89" s="6" t="e" cm="1" vm="1">
        <f t="array" ref="Q89">_xlfn._xlws.FILTER([1]График!$R$3:$R$89,([1]График!$F$3:$F$89=F89)*([1]График!$C$3:$C$89=C89))</f>
        <v>#VALUE!</v>
      </c>
      <c r="R89" s="6"/>
      <c r="S89" s="6"/>
      <c r="T89" s="6"/>
      <c r="U89" s="6"/>
      <c r="V89" s="6"/>
      <c r="W89" s="6"/>
      <c r="X89" s="6"/>
    </row>
    <row r="90" spans="2:24" ht="22.95" customHeight="1" x14ac:dyDescent="0.2">
      <c r="B90" s="15" t="s">
        <v>342</v>
      </c>
      <c r="C90" s="3" t="s">
        <v>343</v>
      </c>
      <c r="D90" s="15" t="s">
        <v>344</v>
      </c>
      <c r="E90" s="3" t="s">
        <v>210</v>
      </c>
      <c r="F90" s="3" t="s">
        <v>215</v>
      </c>
      <c r="G90" s="3" t="s">
        <v>216</v>
      </c>
      <c r="H90" s="3" t="s">
        <v>70</v>
      </c>
      <c r="I90" s="3" t="s">
        <v>213</v>
      </c>
      <c r="J90" s="3" t="s">
        <v>217</v>
      </c>
      <c r="K90" s="3" t="s">
        <v>31</v>
      </c>
      <c r="L90" s="11">
        <v>118.33</v>
      </c>
      <c r="M90" s="5"/>
      <c r="N90" s="4">
        <v>42</v>
      </c>
      <c r="O90" s="5"/>
      <c r="P90" s="4">
        <v>42</v>
      </c>
      <c r="Q90" s="6" t="e" cm="1" vm="1">
        <f t="array" ref="Q90">_xlfn._xlws.FILTER([1]График!$R$3:$R$89,([1]График!$F$3:$F$89=F90)*([1]График!$C$3:$C$89=C90))</f>
        <v>#VALUE!</v>
      </c>
      <c r="R90" s="6"/>
      <c r="S90" s="6"/>
      <c r="T90" s="6"/>
      <c r="U90" s="6"/>
      <c r="V90" s="6"/>
      <c r="W90" s="6"/>
      <c r="X90" s="6"/>
    </row>
    <row r="91" spans="2:24" ht="22.95" customHeight="1" x14ac:dyDescent="0.2">
      <c r="B91" s="15" t="s">
        <v>342</v>
      </c>
      <c r="C91" s="3" t="s">
        <v>343</v>
      </c>
      <c r="D91" s="15" t="s">
        <v>344</v>
      </c>
      <c r="E91" s="3" t="s">
        <v>210</v>
      </c>
      <c r="F91" s="3" t="s">
        <v>211</v>
      </c>
      <c r="G91" s="3" t="s">
        <v>212</v>
      </c>
      <c r="H91" s="3" t="s">
        <v>70</v>
      </c>
      <c r="I91" s="3" t="s">
        <v>213</v>
      </c>
      <c r="J91" s="3" t="s">
        <v>214</v>
      </c>
      <c r="K91" s="3" t="s">
        <v>31</v>
      </c>
      <c r="L91" s="11">
        <v>118.33</v>
      </c>
      <c r="M91" s="5"/>
      <c r="N91" s="4">
        <v>154</v>
      </c>
      <c r="O91" s="5"/>
      <c r="P91" s="4">
        <v>154</v>
      </c>
      <c r="Q91" s="6" t="e" cm="1" vm="1">
        <f t="array" ref="Q91">_xlfn._xlws.FILTER([1]График!$R$3:$R$89,([1]График!$F$3:$F$89=F91)*([1]График!$C$3:$C$89=C91))</f>
        <v>#VALUE!</v>
      </c>
      <c r="R91" s="7">
        <v>64</v>
      </c>
      <c r="S91" s="7">
        <v>90</v>
      </c>
      <c r="T91" s="6"/>
      <c r="U91" s="6"/>
      <c r="V91" s="6"/>
      <c r="W91" s="6"/>
      <c r="X91" s="6"/>
    </row>
    <row r="92" spans="2:24" ht="22.95" customHeight="1" x14ac:dyDescent="0.2">
      <c r="B92" s="15" t="s">
        <v>342</v>
      </c>
      <c r="C92" s="3" t="s">
        <v>345</v>
      </c>
      <c r="D92" s="15" t="s">
        <v>346</v>
      </c>
      <c r="E92" s="3" t="s">
        <v>210</v>
      </c>
      <c r="F92" s="3" t="s">
        <v>238</v>
      </c>
      <c r="G92" s="3" t="s">
        <v>239</v>
      </c>
      <c r="H92" s="3" t="s">
        <v>70</v>
      </c>
      <c r="I92" s="3" t="s">
        <v>213</v>
      </c>
      <c r="J92" s="3" t="s">
        <v>240</v>
      </c>
      <c r="K92" s="3" t="s">
        <v>228</v>
      </c>
      <c r="L92" s="4">
        <v>8</v>
      </c>
      <c r="M92" s="4">
        <v>7</v>
      </c>
      <c r="N92" s="4">
        <v>36</v>
      </c>
      <c r="O92" s="5"/>
      <c r="P92" s="4">
        <v>36</v>
      </c>
      <c r="Q92" s="6" t="e" cm="1" vm="1">
        <f t="array" ref="Q92">_xlfn._xlws.FILTER([1]График!$R$3:$R$89,([1]График!$F$3:$F$89=F92)*([1]График!$C$3:$C$89=C92))</f>
        <v>#VALUE!</v>
      </c>
      <c r="R92" s="6"/>
      <c r="S92" s="6"/>
      <c r="T92" s="6"/>
      <c r="U92" s="6"/>
      <c r="V92" s="6"/>
      <c r="W92" s="6"/>
      <c r="X92" s="6"/>
    </row>
    <row r="93" spans="2:24" ht="22.95" customHeight="1" x14ac:dyDescent="0.2">
      <c r="B93" s="15" t="s">
        <v>342</v>
      </c>
      <c r="C93" s="3" t="s">
        <v>345</v>
      </c>
      <c r="D93" s="15" t="s">
        <v>346</v>
      </c>
      <c r="E93" s="3" t="s">
        <v>210</v>
      </c>
      <c r="F93" s="3" t="s">
        <v>215</v>
      </c>
      <c r="G93" s="3" t="s">
        <v>216</v>
      </c>
      <c r="H93" s="3" t="s">
        <v>70</v>
      </c>
      <c r="I93" s="3" t="s">
        <v>213</v>
      </c>
      <c r="J93" s="3" t="s">
        <v>217</v>
      </c>
      <c r="K93" s="3" t="s">
        <v>31</v>
      </c>
      <c r="L93" s="4">
        <v>8</v>
      </c>
      <c r="M93" s="5"/>
      <c r="N93" s="4">
        <v>32</v>
      </c>
      <c r="O93" s="5"/>
      <c r="P93" s="4">
        <v>32</v>
      </c>
      <c r="Q93" s="6" t="e" cm="1" vm="1">
        <f t="array" ref="Q93">_xlfn._xlws.FILTER([1]График!$R$3:$R$89,([1]График!$F$3:$F$89=F93)*([1]График!$C$3:$C$89=C93))</f>
        <v>#VALUE!</v>
      </c>
      <c r="R93" s="6"/>
      <c r="S93" s="6"/>
      <c r="T93" s="6"/>
      <c r="U93" s="6"/>
      <c r="V93" s="6"/>
      <c r="W93" s="6"/>
      <c r="X93" s="6"/>
    </row>
    <row r="94" spans="2:24" ht="22.95" customHeight="1" x14ac:dyDescent="0.2">
      <c r="B94" s="15" t="s">
        <v>342</v>
      </c>
      <c r="C94" s="3" t="s">
        <v>345</v>
      </c>
      <c r="D94" s="15" t="s">
        <v>346</v>
      </c>
      <c r="E94" s="3" t="s">
        <v>210</v>
      </c>
      <c r="F94" s="3" t="s">
        <v>211</v>
      </c>
      <c r="G94" s="3" t="s">
        <v>212</v>
      </c>
      <c r="H94" s="3" t="s">
        <v>70</v>
      </c>
      <c r="I94" s="3" t="s">
        <v>213</v>
      </c>
      <c r="J94" s="3" t="s">
        <v>214</v>
      </c>
      <c r="K94" s="3" t="s">
        <v>31</v>
      </c>
      <c r="L94" s="4">
        <v>8</v>
      </c>
      <c r="M94" s="5"/>
      <c r="N94" s="4">
        <v>10</v>
      </c>
      <c r="O94" s="5"/>
      <c r="P94" s="4">
        <v>10</v>
      </c>
      <c r="Q94" s="6" t="e" cm="1" vm="1">
        <f t="array" ref="Q94">_xlfn._xlws.FILTER([1]График!$R$3:$R$89,([1]График!$F$3:$F$89=F94)*([1]График!$C$3:$C$89=C94))</f>
        <v>#VALUE!</v>
      </c>
      <c r="R94" s="6"/>
      <c r="S94" s="7">
        <v>10</v>
      </c>
      <c r="T94" s="6"/>
      <c r="U94" s="6"/>
      <c r="V94" s="6"/>
      <c r="W94" s="6"/>
      <c r="X94" s="6"/>
    </row>
    <row r="95" spans="2:24" ht="22.95" customHeight="1" x14ac:dyDescent="0.2">
      <c r="B95" s="15" t="s">
        <v>342</v>
      </c>
      <c r="C95" s="3" t="s">
        <v>345</v>
      </c>
      <c r="D95" s="15" t="s">
        <v>346</v>
      </c>
      <c r="E95" s="3" t="s">
        <v>210</v>
      </c>
      <c r="F95" s="3" t="s">
        <v>281</v>
      </c>
      <c r="G95" s="3" t="s">
        <v>282</v>
      </c>
      <c r="H95" s="3" t="s">
        <v>70</v>
      </c>
      <c r="I95" s="3" t="s">
        <v>213</v>
      </c>
      <c r="J95" s="3" t="s">
        <v>283</v>
      </c>
      <c r="K95" s="3" t="s">
        <v>79</v>
      </c>
      <c r="L95" s="4">
        <v>8</v>
      </c>
      <c r="M95" s="5"/>
      <c r="N95" s="4">
        <v>2</v>
      </c>
      <c r="O95" s="5"/>
      <c r="P95" s="4">
        <v>2</v>
      </c>
      <c r="Q95" s="6" t="e" cm="1" vm="1">
        <f t="array" ref="Q95">_xlfn._xlws.FILTER([1]График!$R$3:$R$89,([1]График!$F$3:$F$89=F95)*([1]График!$C$3:$C$89=C95))</f>
        <v>#VALUE!</v>
      </c>
      <c r="R95" s="6"/>
      <c r="S95" s="6"/>
      <c r="T95" s="6"/>
      <c r="U95" s="6"/>
      <c r="V95" s="6"/>
      <c r="W95" s="6"/>
      <c r="X95" s="6"/>
    </row>
    <row r="96" spans="2:24" ht="22.95" customHeight="1" x14ac:dyDescent="0.2">
      <c r="B96" s="15" t="s">
        <v>342</v>
      </c>
      <c r="C96" s="3" t="s">
        <v>347</v>
      </c>
      <c r="D96" s="15" t="s">
        <v>348</v>
      </c>
      <c r="E96" s="3" t="s">
        <v>210</v>
      </c>
      <c r="F96" s="3" t="s">
        <v>220</v>
      </c>
      <c r="G96" s="3" t="s">
        <v>221</v>
      </c>
      <c r="H96" s="3" t="s">
        <v>70</v>
      </c>
      <c r="I96" s="3" t="s">
        <v>213</v>
      </c>
      <c r="J96" s="3" t="s">
        <v>222</v>
      </c>
      <c r="K96" s="3" t="s">
        <v>31</v>
      </c>
      <c r="L96" s="5"/>
      <c r="M96" s="5"/>
      <c r="N96" s="4">
        <v>11</v>
      </c>
      <c r="O96" s="5"/>
      <c r="P96" s="4">
        <v>11</v>
      </c>
      <c r="Q96" s="6" t="e" cm="1" vm="1">
        <f t="array" ref="Q96">_xlfn._xlws.FILTER([1]График!$R$3:$R$89,([1]График!$F$3:$F$89=F96)*([1]График!$C$3:$C$89=C96))</f>
        <v>#VALUE!</v>
      </c>
      <c r="R96" s="6"/>
      <c r="S96" s="6"/>
      <c r="T96" s="6"/>
      <c r="U96" s="6"/>
      <c r="V96" s="6"/>
      <c r="W96" s="6"/>
      <c r="X96" s="6"/>
    </row>
    <row r="97" spans="2:24" ht="22.95" customHeight="1" x14ac:dyDescent="0.2">
      <c r="B97" s="15" t="s">
        <v>342</v>
      </c>
      <c r="C97" s="3" t="s">
        <v>347</v>
      </c>
      <c r="D97" s="15" t="s">
        <v>348</v>
      </c>
      <c r="E97" s="3" t="s">
        <v>210</v>
      </c>
      <c r="F97" s="3" t="s">
        <v>211</v>
      </c>
      <c r="G97" s="3" t="s">
        <v>212</v>
      </c>
      <c r="H97" s="3" t="s">
        <v>70</v>
      </c>
      <c r="I97" s="3" t="s">
        <v>213</v>
      </c>
      <c r="J97" s="3" t="s">
        <v>214</v>
      </c>
      <c r="K97" s="3" t="s">
        <v>31</v>
      </c>
      <c r="L97" s="5"/>
      <c r="M97" s="5"/>
      <c r="N97" s="4">
        <v>201</v>
      </c>
      <c r="O97" s="5"/>
      <c r="P97" s="4">
        <v>201</v>
      </c>
      <c r="Q97" s="6" t="e" cm="1" vm="1">
        <f t="array" ref="Q97">_xlfn._xlws.FILTER([1]График!$R$3:$R$89,([1]График!$F$3:$F$89=F97)*([1]График!$C$3:$C$89=C97))</f>
        <v>#VALUE!</v>
      </c>
      <c r="R97" s="6"/>
      <c r="S97" s="7">
        <v>200</v>
      </c>
      <c r="T97" s="7">
        <v>1</v>
      </c>
      <c r="U97" s="6"/>
      <c r="V97" s="6"/>
      <c r="W97" s="6"/>
      <c r="X97" s="6"/>
    </row>
    <row r="98" spans="2:24" ht="22.95" customHeight="1" x14ac:dyDescent="0.2">
      <c r="B98" s="15" t="s">
        <v>342</v>
      </c>
      <c r="C98" s="3" t="s">
        <v>347</v>
      </c>
      <c r="D98" s="15" t="s">
        <v>348</v>
      </c>
      <c r="E98" s="3" t="s">
        <v>210</v>
      </c>
      <c r="F98" s="3" t="s">
        <v>215</v>
      </c>
      <c r="G98" s="3" t="s">
        <v>216</v>
      </c>
      <c r="H98" s="3" t="s">
        <v>70</v>
      </c>
      <c r="I98" s="3" t="s">
        <v>213</v>
      </c>
      <c r="J98" s="3" t="s">
        <v>217</v>
      </c>
      <c r="K98" s="3" t="s">
        <v>31</v>
      </c>
      <c r="L98" s="5"/>
      <c r="M98" s="5"/>
      <c r="N98" s="4">
        <v>169</v>
      </c>
      <c r="O98" s="5"/>
      <c r="P98" s="4">
        <v>169</v>
      </c>
      <c r="Q98" s="6" t="e" cm="1" vm="1">
        <f t="array" ref="Q98">_xlfn._xlws.FILTER([1]График!$R$3:$R$89,([1]График!$F$3:$F$89=F98)*([1]График!$C$3:$C$89=C98))</f>
        <v>#VALUE!</v>
      </c>
      <c r="R98" s="7">
        <v>133</v>
      </c>
      <c r="S98" s="6"/>
      <c r="T98" s="6"/>
      <c r="U98" s="6"/>
      <c r="V98" s="6"/>
      <c r="W98" s="6"/>
      <c r="X98" s="6"/>
    </row>
    <row r="99" spans="2:24" ht="22.95" customHeight="1" x14ac:dyDescent="0.2">
      <c r="B99" s="15" t="s">
        <v>342</v>
      </c>
      <c r="C99" s="3" t="s">
        <v>349</v>
      </c>
      <c r="D99" s="15" t="s">
        <v>350</v>
      </c>
      <c r="E99" s="3" t="s">
        <v>210</v>
      </c>
      <c r="F99" s="3" t="s">
        <v>235</v>
      </c>
      <c r="G99" s="3" t="s">
        <v>236</v>
      </c>
      <c r="H99" s="3" t="s">
        <v>70</v>
      </c>
      <c r="I99" s="3" t="s">
        <v>213</v>
      </c>
      <c r="J99" s="3" t="s">
        <v>237</v>
      </c>
      <c r="K99" s="3" t="s">
        <v>31</v>
      </c>
      <c r="L99" s="11">
        <v>94.34</v>
      </c>
      <c r="M99" s="5"/>
      <c r="N99" s="4">
        <v>9</v>
      </c>
      <c r="O99" s="5"/>
      <c r="P99" s="4">
        <v>9</v>
      </c>
      <c r="Q99" s="6" t="e" cm="1" vm="1">
        <f t="array" ref="Q99">_xlfn._xlws.FILTER([1]График!$R$3:$R$89,([1]График!$F$3:$F$89=F99)*([1]График!$C$3:$C$89=C99))</f>
        <v>#VALUE!</v>
      </c>
      <c r="R99" s="6"/>
      <c r="S99" s="6"/>
      <c r="T99" s="6"/>
      <c r="U99" s="6"/>
      <c r="V99" s="6"/>
      <c r="W99" s="6"/>
      <c r="X99" s="6"/>
    </row>
    <row r="100" spans="2:24" ht="22.95" customHeight="1" x14ac:dyDescent="0.2">
      <c r="B100" s="15" t="s">
        <v>342</v>
      </c>
      <c r="C100" s="3" t="s">
        <v>349</v>
      </c>
      <c r="D100" s="15" t="s">
        <v>350</v>
      </c>
      <c r="E100" s="3" t="s">
        <v>210</v>
      </c>
      <c r="F100" s="3" t="s">
        <v>215</v>
      </c>
      <c r="G100" s="3" t="s">
        <v>216</v>
      </c>
      <c r="H100" s="3" t="s">
        <v>70</v>
      </c>
      <c r="I100" s="3" t="s">
        <v>213</v>
      </c>
      <c r="J100" s="3" t="s">
        <v>217</v>
      </c>
      <c r="K100" s="3" t="s">
        <v>31</v>
      </c>
      <c r="L100" s="11">
        <v>94.33</v>
      </c>
      <c r="M100" s="5"/>
      <c r="N100" s="4">
        <v>103</v>
      </c>
      <c r="O100" s="5"/>
      <c r="P100" s="4">
        <v>103</v>
      </c>
      <c r="Q100" s="6" t="e" cm="1" vm="1">
        <f t="array" ref="Q100">_xlfn._xlws.FILTER([1]График!$R$3:$R$89,([1]График!$F$3:$F$89=F100)*([1]График!$C$3:$C$89=C100))</f>
        <v>#VALUE!</v>
      </c>
      <c r="R100" s="7">
        <v>103</v>
      </c>
      <c r="S100" s="6"/>
      <c r="T100" s="6"/>
      <c r="U100" s="6"/>
      <c r="V100" s="6"/>
      <c r="W100" s="6"/>
      <c r="X100" s="6"/>
    </row>
    <row r="101" spans="2:24" ht="22.95" customHeight="1" x14ac:dyDescent="0.2">
      <c r="B101" s="15" t="s">
        <v>342</v>
      </c>
      <c r="C101" s="3" t="s">
        <v>349</v>
      </c>
      <c r="D101" s="15" t="s">
        <v>350</v>
      </c>
      <c r="E101" s="3" t="s">
        <v>210</v>
      </c>
      <c r="F101" s="3" t="s">
        <v>211</v>
      </c>
      <c r="G101" s="3" t="s">
        <v>212</v>
      </c>
      <c r="H101" s="3" t="s">
        <v>70</v>
      </c>
      <c r="I101" s="3" t="s">
        <v>213</v>
      </c>
      <c r="J101" s="3" t="s">
        <v>214</v>
      </c>
      <c r="K101" s="3" t="s">
        <v>31</v>
      </c>
      <c r="L101" s="11">
        <v>94.33</v>
      </c>
      <c r="M101" s="5"/>
      <c r="N101" s="4">
        <v>151</v>
      </c>
      <c r="O101" s="5"/>
      <c r="P101" s="4">
        <v>151</v>
      </c>
      <c r="Q101" s="6" t="e" cm="1" vm="1">
        <f t="array" ref="Q101">_xlfn._xlws.FILTER([1]График!$R$3:$R$89,([1]График!$F$3:$F$89=F101)*([1]График!$C$3:$C$89=C101))</f>
        <v>#VALUE!</v>
      </c>
      <c r="R101" s="6"/>
      <c r="S101" s="6"/>
      <c r="T101" s="7">
        <v>151</v>
      </c>
      <c r="U101" s="6"/>
      <c r="V101" s="6"/>
      <c r="W101" s="6"/>
      <c r="X101" s="6"/>
    </row>
    <row r="102" spans="2:24" ht="22.95" customHeight="1" x14ac:dyDescent="0.2">
      <c r="B102" s="15" t="s">
        <v>342</v>
      </c>
      <c r="C102" s="3" t="s">
        <v>351</v>
      </c>
      <c r="D102" s="15" t="s">
        <v>352</v>
      </c>
      <c r="E102" s="3" t="s">
        <v>210</v>
      </c>
      <c r="F102" s="3" t="s">
        <v>229</v>
      </c>
      <c r="G102" s="3" t="s">
        <v>230</v>
      </c>
      <c r="H102" s="3" t="s">
        <v>70</v>
      </c>
      <c r="I102" s="3" t="s">
        <v>213</v>
      </c>
      <c r="J102" s="3" t="s">
        <v>231</v>
      </c>
      <c r="K102" s="3" t="s">
        <v>47</v>
      </c>
      <c r="L102" s="4">
        <v>15</v>
      </c>
      <c r="M102" s="4">
        <v>8</v>
      </c>
      <c r="N102" s="4">
        <v>11</v>
      </c>
      <c r="O102" s="5"/>
      <c r="P102" s="4">
        <v>11</v>
      </c>
      <c r="Q102" s="6" t="e" cm="1" vm="1">
        <f t="array" ref="Q102">_xlfn._xlws.FILTER([1]График!$R$3:$R$89,([1]График!$F$3:$F$89=F102)*([1]График!$C$3:$C$89=C102))</f>
        <v>#VALUE!</v>
      </c>
      <c r="R102" s="6"/>
      <c r="S102" s="6"/>
      <c r="T102" s="6"/>
      <c r="U102" s="6"/>
      <c r="V102" s="6"/>
      <c r="W102" s="6"/>
      <c r="X102" s="6"/>
    </row>
    <row r="103" spans="2:24" ht="22.95" customHeight="1" x14ac:dyDescent="0.2">
      <c r="B103" s="15" t="s">
        <v>342</v>
      </c>
      <c r="C103" s="3" t="s">
        <v>351</v>
      </c>
      <c r="D103" s="15" t="s">
        <v>352</v>
      </c>
      <c r="E103" s="3" t="s">
        <v>210</v>
      </c>
      <c r="F103" s="3" t="s">
        <v>235</v>
      </c>
      <c r="G103" s="3" t="s">
        <v>236</v>
      </c>
      <c r="H103" s="3" t="s">
        <v>70</v>
      </c>
      <c r="I103" s="3" t="s">
        <v>213</v>
      </c>
      <c r="J103" s="3" t="s">
        <v>237</v>
      </c>
      <c r="K103" s="3" t="s">
        <v>31</v>
      </c>
      <c r="L103" s="4">
        <v>15</v>
      </c>
      <c r="M103" s="5"/>
      <c r="N103" s="4">
        <v>29</v>
      </c>
      <c r="O103" s="5"/>
      <c r="P103" s="4">
        <v>29</v>
      </c>
      <c r="Q103" s="6" t="e" cm="1" vm="1">
        <f t="array" ref="Q103">_xlfn._xlws.FILTER([1]График!$R$3:$R$89,([1]График!$F$3:$F$89=F103)*([1]График!$C$3:$C$89=C103))</f>
        <v>#VALUE!</v>
      </c>
      <c r="R103" s="6"/>
      <c r="S103" s="6"/>
      <c r="T103" s="6"/>
      <c r="U103" s="6"/>
      <c r="V103" s="6"/>
      <c r="W103" s="6"/>
      <c r="X103" s="6"/>
    </row>
    <row r="104" spans="2:24" ht="22.95" customHeight="1" x14ac:dyDescent="0.2">
      <c r="B104" s="15" t="s">
        <v>342</v>
      </c>
      <c r="C104" s="3" t="s">
        <v>351</v>
      </c>
      <c r="D104" s="15" t="s">
        <v>352</v>
      </c>
      <c r="E104" s="3" t="s">
        <v>210</v>
      </c>
      <c r="F104" s="3" t="s">
        <v>220</v>
      </c>
      <c r="G104" s="3" t="s">
        <v>221</v>
      </c>
      <c r="H104" s="3" t="s">
        <v>70</v>
      </c>
      <c r="I104" s="3" t="s">
        <v>213</v>
      </c>
      <c r="J104" s="3" t="s">
        <v>222</v>
      </c>
      <c r="K104" s="3" t="s">
        <v>31</v>
      </c>
      <c r="L104" s="4">
        <v>15</v>
      </c>
      <c r="M104" s="5"/>
      <c r="N104" s="4">
        <v>12</v>
      </c>
      <c r="O104" s="5"/>
      <c r="P104" s="4">
        <v>12</v>
      </c>
      <c r="Q104" s="6" t="e" cm="1" vm="1">
        <f t="array" ref="Q104">_xlfn._xlws.FILTER([1]График!$R$3:$R$89,([1]График!$F$3:$F$89=F104)*([1]График!$C$3:$C$89=C104))</f>
        <v>#VALUE!</v>
      </c>
      <c r="R104" s="6"/>
      <c r="S104" s="6"/>
      <c r="T104" s="6"/>
      <c r="U104" s="6"/>
      <c r="V104" s="6"/>
      <c r="W104" s="6"/>
      <c r="X104" s="6"/>
    </row>
    <row r="105" spans="2:24" ht="22.95" customHeight="1" x14ac:dyDescent="0.2">
      <c r="B105" s="15" t="s">
        <v>342</v>
      </c>
      <c r="C105" s="3" t="s">
        <v>353</v>
      </c>
      <c r="D105" s="15" t="s">
        <v>354</v>
      </c>
      <c r="E105" s="3" t="s">
        <v>210</v>
      </c>
      <c r="F105" s="3" t="s">
        <v>220</v>
      </c>
      <c r="G105" s="3" t="s">
        <v>221</v>
      </c>
      <c r="H105" s="3" t="s">
        <v>70</v>
      </c>
      <c r="I105" s="3" t="s">
        <v>213</v>
      </c>
      <c r="J105" s="3" t="s">
        <v>222</v>
      </c>
      <c r="K105" s="3" t="s">
        <v>31</v>
      </c>
      <c r="L105" s="12">
        <v>5.5</v>
      </c>
      <c r="M105" s="5"/>
      <c r="N105" s="4">
        <v>4</v>
      </c>
      <c r="O105" s="5"/>
      <c r="P105" s="4">
        <v>4</v>
      </c>
      <c r="Q105" s="6" t="e" cm="1" vm="1">
        <f t="array" ref="Q105">_xlfn._xlws.FILTER([1]График!$R$3:$R$89,([1]График!$F$3:$F$89=F105)*([1]График!$C$3:$C$89=C105))</f>
        <v>#VALUE!</v>
      </c>
      <c r="R105" s="6"/>
      <c r="S105" s="6"/>
      <c r="T105" s="6"/>
      <c r="U105" s="6"/>
      <c r="V105" s="6"/>
      <c r="W105" s="6"/>
      <c r="X105" s="6"/>
    </row>
    <row r="106" spans="2:24" ht="22.95" customHeight="1" x14ac:dyDescent="0.2">
      <c r="B106" s="15" t="s">
        <v>342</v>
      </c>
      <c r="C106" s="3" t="s">
        <v>353</v>
      </c>
      <c r="D106" s="15" t="s">
        <v>354</v>
      </c>
      <c r="E106" s="3" t="s">
        <v>210</v>
      </c>
      <c r="F106" s="3" t="s">
        <v>229</v>
      </c>
      <c r="G106" s="3" t="s">
        <v>230</v>
      </c>
      <c r="H106" s="3" t="s">
        <v>70</v>
      </c>
      <c r="I106" s="3" t="s">
        <v>213</v>
      </c>
      <c r="J106" s="3" t="s">
        <v>231</v>
      </c>
      <c r="K106" s="3" t="s">
        <v>47</v>
      </c>
      <c r="L106" s="12">
        <v>5.5</v>
      </c>
      <c r="M106" s="5"/>
      <c r="N106" s="4">
        <v>18</v>
      </c>
      <c r="O106" s="5"/>
      <c r="P106" s="4">
        <v>18</v>
      </c>
      <c r="Q106" s="6" t="e" cm="1" vm="1">
        <f t="array" ref="Q106">_xlfn._xlws.FILTER([1]График!$R$3:$R$89,([1]График!$F$3:$F$89=F106)*([1]График!$C$3:$C$89=C106))</f>
        <v>#VALUE!</v>
      </c>
      <c r="R106" s="6"/>
      <c r="S106" s="6"/>
      <c r="T106" s="6"/>
      <c r="U106" s="6"/>
      <c r="V106" s="6"/>
      <c r="W106" s="6"/>
      <c r="X106" s="6"/>
    </row>
    <row r="107" spans="2:24" ht="22.95" customHeight="1" x14ac:dyDescent="0.2">
      <c r="B107" s="15" t="s">
        <v>355</v>
      </c>
      <c r="C107" s="3" t="s">
        <v>356</v>
      </c>
      <c r="D107" s="15" t="s">
        <v>357</v>
      </c>
      <c r="E107" s="3" t="s">
        <v>136</v>
      </c>
      <c r="F107" s="3" t="s">
        <v>358</v>
      </c>
      <c r="G107" s="3" t="s">
        <v>359</v>
      </c>
      <c r="H107" s="3" t="s">
        <v>139</v>
      </c>
      <c r="I107" s="3" t="s">
        <v>360</v>
      </c>
      <c r="J107" s="3" t="s">
        <v>361</v>
      </c>
      <c r="K107" s="3" t="s">
        <v>71</v>
      </c>
      <c r="L107" s="4">
        <v>2</v>
      </c>
      <c r="M107" s="4">
        <v>2</v>
      </c>
      <c r="N107" s="4">
        <v>13</v>
      </c>
      <c r="O107" s="5"/>
      <c r="P107" s="4">
        <v>13</v>
      </c>
      <c r="Q107" s="6" cm="1">
        <f t="array" ref="Q107">_xlfn._xlws.FILTER([1]График!$R$3:$R$89,([1]График!$F$3:$F$89=F107)*([1]График!$C$3:$C$89=C107))</f>
        <v>13</v>
      </c>
      <c r="R107" s="6"/>
      <c r="S107" s="6"/>
      <c r="T107" s="6"/>
      <c r="U107" s="6"/>
      <c r="V107" s="6"/>
      <c r="W107" s="6"/>
      <c r="X107" s="6"/>
    </row>
    <row r="108" spans="2:24" ht="22.95" customHeight="1" x14ac:dyDescent="0.2">
      <c r="B108" s="15" t="s">
        <v>355</v>
      </c>
      <c r="C108" s="3" t="s">
        <v>362</v>
      </c>
      <c r="D108" s="15" t="s">
        <v>363</v>
      </c>
      <c r="E108" s="3" t="s">
        <v>210</v>
      </c>
      <c r="F108" s="3" t="s">
        <v>220</v>
      </c>
      <c r="G108" s="3" t="s">
        <v>221</v>
      </c>
      <c r="H108" s="3" t="s">
        <v>70</v>
      </c>
      <c r="I108" s="3" t="s">
        <v>213</v>
      </c>
      <c r="J108" s="3" t="s">
        <v>222</v>
      </c>
      <c r="K108" s="3" t="s">
        <v>31</v>
      </c>
      <c r="L108" s="11">
        <v>13.33</v>
      </c>
      <c r="M108" s="5"/>
      <c r="N108" s="4">
        <v>18</v>
      </c>
      <c r="O108" s="5"/>
      <c r="P108" s="4">
        <v>18</v>
      </c>
      <c r="Q108" s="6" cm="1">
        <f t="array" ref="Q108">_xlfn._xlws.FILTER([1]График!$R$3:$R$89,([1]График!$F$3:$F$89=F108)*([1]График!$C$3:$C$89=C108))</f>
        <v>18</v>
      </c>
      <c r="R108" s="6"/>
      <c r="S108" s="6"/>
      <c r="T108" s="7">
        <v>18</v>
      </c>
      <c r="U108" s="6"/>
      <c r="V108" s="6"/>
      <c r="W108" s="6"/>
      <c r="X108" s="6"/>
    </row>
    <row r="109" spans="2:24" ht="22.95" customHeight="1" x14ac:dyDescent="0.2">
      <c r="B109" s="15" t="s">
        <v>355</v>
      </c>
      <c r="C109" s="3" t="s">
        <v>362</v>
      </c>
      <c r="D109" s="15" t="s">
        <v>363</v>
      </c>
      <c r="E109" s="3" t="s">
        <v>210</v>
      </c>
      <c r="F109" s="3" t="s">
        <v>286</v>
      </c>
      <c r="G109" s="3" t="s">
        <v>287</v>
      </c>
      <c r="H109" s="3" t="s">
        <v>70</v>
      </c>
      <c r="I109" s="3" t="s">
        <v>213</v>
      </c>
      <c r="J109" s="3" t="s">
        <v>288</v>
      </c>
      <c r="K109" s="3" t="s">
        <v>31</v>
      </c>
      <c r="L109" s="11">
        <v>13.33</v>
      </c>
      <c r="M109" s="5"/>
      <c r="N109" s="4">
        <v>2</v>
      </c>
      <c r="O109" s="5"/>
      <c r="P109" s="4">
        <v>2</v>
      </c>
      <c r="Q109" s="6" cm="1">
        <f t="array" ref="Q109">_xlfn._xlws.FILTER([1]График!$R$3:$R$89,([1]График!$F$3:$F$89=F109)*([1]График!$C$3:$C$89=C109))</f>
        <v>2</v>
      </c>
      <c r="R109" s="6"/>
      <c r="S109" s="6"/>
      <c r="T109" s="7">
        <v>2</v>
      </c>
      <c r="U109" s="6"/>
      <c r="V109" s="6"/>
      <c r="W109" s="6"/>
      <c r="X109" s="6"/>
    </row>
    <row r="110" spans="2:24" ht="22.95" customHeight="1" x14ac:dyDescent="0.2">
      <c r="B110" s="15" t="s">
        <v>355</v>
      </c>
      <c r="C110" s="3" t="s">
        <v>362</v>
      </c>
      <c r="D110" s="15" t="s">
        <v>363</v>
      </c>
      <c r="E110" s="3" t="s">
        <v>210</v>
      </c>
      <c r="F110" s="3" t="s">
        <v>281</v>
      </c>
      <c r="G110" s="3" t="s">
        <v>282</v>
      </c>
      <c r="H110" s="3" t="s">
        <v>70</v>
      </c>
      <c r="I110" s="3" t="s">
        <v>213</v>
      </c>
      <c r="J110" s="3" t="s">
        <v>283</v>
      </c>
      <c r="K110" s="3" t="s">
        <v>79</v>
      </c>
      <c r="L110" s="11">
        <v>13.34</v>
      </c>
      <c r="M110" s="5"/>
      <c r="N110" s="4">
        <v>6</v>
      </c>
      <c r="O110" s="5"/>
      <c r="P110" s="4">
        <v>6</v>
      </c>
      <c r="Q110" s="6" cm="1">
        <f t="array" ref="Q110">_xlfn._xlws.FILTER([1]График!$R$3:$R$89,([1]График!$F$3:$F$89=F110)*([1]График!$C$3:$C$89=C110))</f>
        <v>6</v>
      </c>
      <c r="R110" s="7">
        <v>6</v>
      </c>
      <c r="S110" s="6"/>
      <c r="T110" s="6"/>
      <c r="U110" s="6"/>
      <c r="V110" s="6"/>
      <c r="W110" s="6"/>
      <c r="X110" s="6"/>
    </row>
    <row r="111" spans="2:24" ht="22.95" customHeight="1" x14ac:dyDescent="0.2">
      <c r="B111" s="15" t="s">
        <v>355</v>
      </c>
      <c r="C111" s="3" t="s">
        <v>364</v>
      </c>
      <c r="D111" s="15" t="s">
        <v>365</v>
      </c>
      <c r="E111" s="3" t="s">
        <v>210</v>
      </c>
      <c r="F111" s="3" t="s">
        <v>215</v>
      </c>
      <c r="G111" s="3" t="s">
        <v>216</v>
      </c>
      <c r="H111" s="3" t="s">
        <v>70</v>
      </c>
      <c r="I111" s="3" t="s">
        <v>213</v>
      </c>
      <c r="J111" s="3" t="s">
        <v>217</v>
      </c>
      <c r="K111" s="3" t="s">
        <v>31</v>
      </c>
      <c r="L111" s="11">
        <v>3.29</v>
      </c>
      <c r="M111" s="5"/>
      <c r="N111" s="4">
        <v>18</v>
      </c>
      <c r="O111" s="5"/>
      <c r="P111" s="4">
        <v>18</v>
      </c>
      <c r="Q111" s="6" cm="1">
        <f t="array" ref="Q111">_xlfn._xlws.FILTER([1]График!$R$3:$R$89,([1]График!$F$3:$F$89=F111)*([1]График!$C$3:$C$89=C111))</f>
        <v>18</v>
      </c>
      <c r="R111" s="6"/>
      <c r="S111" s="6"/>
      <c r="T111" s="7">
        <v>18</v>
      </c>
      <c r="U111" s="6"/>
      <c r="V111" s="6"/>
      <c r="W111" s="6"/>
      <c r="X111" s="6"/>
    </row>
    <row r="112" spans="2:24" ht="22.95" customHeight="1" x14ac:dyDescent="0.2">
      <c r="B112" s="15" t="s">
        <v>355</v>
      </c>
      <c r="C112" s="3" t="s">
        <v>364</v>
      </c>
      <c r="D112" s="15" t="s">
        <v>365</v>
      </c>
      <c r="E112" s="3" t="s">
        <v>210</v>
      </c>
      <c r="F112" s="3" t="s">
        <v>211</v>
      </c>
      <c r="G112" s="3" t="s">
        <v>212</v>
      </c>
      <c r="H112" s="3" t="s">
        <v>70</v>
      </c>
      <c r="I112" s="3" t="s">
        <v>213</v>
      </c>
      <c r="J112" s="3" t="s">
        <v>214</v>
      </c>
      <c r="K112" s="3" t="s">
        <v>31</v>
      </c>
      <c r="L112" s="11">
        <v>3.29</v>
      </c>
      <c r="M112" s="5"/>
      <c r="N112" s="4">
        <v>16</v>
      </c>
      <c r="O112" s="5"/>
      <c r="P112" s="4">
        <v>16</v>
      </c>
      <c r="Q112" s="6" cm="1">
        <f t="array" ref="Q112">_xlfn._xlws.FILTER([1]График!$R$3:$R$89,([1]График!$F$3:$F$89=F112)*([1]График!$C$3:$C$89=C112))</f>
        <v>16</v>
      </c>
      <c r="R112" s="6"/>
      <c r="S112" s="6"/>
      <c r="T112" s="7">
        <v>1</v>
      </c>
      <c r="U112" s="7">
        <v>15</v>
      </c>
      <c r="V112" s="6"/>
      <c r="W112" s="6"/>
      <c r="X112" s="6"/>
    </row>
    <row r="113" spans="2:24" ht="22.95" customHeight="1" x14ac:dyDescent="0.2">
      <c r="B113" s="15" t="s">
        <v>355</v>
      </c>
      <c r="C113" s="3" t="s">
        <v>364</v>
      </c>
      <c r="D113" s="15" t="s">
        <v>365</v>
      </c>
      <c r="E113" s="3" t="s">
        <v>210</v>
      </c>
      <c r="F113" s="3" t="s">
        <v>238</v>
      </c>
      <c r="G113" s="3" t="s">
        <v>239</v>
      </c>
      <c r="H113" s="3" t="s">
        <v>70</v>
      </c>
      <c r="I113" s="3" t="s">
        <v>213</v>
      </c>
      <c r="J113" s="3" t="s">
        <v>240</v>
      </c>
      <c r="K113" s="3" t="s">
        <v>228</v>
      </c>
      <c r="L113" s="11">
        <v>3.28</v>
      </c>
      <c r="M113" s="5"/>
      <c r="N113" s="4">
        <v>16</v>
      </c>
      <c r="O113" s="5"/>
      <c r="P113" s="4">
        <v>16</v>
      </c>
      <c r="Q113" s="6" cm="1">
        <f t="array" ref="Q113">_xlfn._xlws.FILTER([1]График!$R$3:$R$89,([1]График!$F$3:$F$89=F113)*([1]График!$C$3:$C$89=C113))</f>
        <v>16</v>
      </c>
      <c r="R113" s="7">
        <v>16</v>
      </c>
      <c r="S113" s="6"/>
      <c r="T113" s="6"/>
      <c r="U113" s="6"/>
      <c r="V113" s="6"/>
      <c r="W113" s="6"/>
      <c r="X113" s="6"/>
    </row>
    <row r="114" spans="2:24" ht="22.95" customHeight="1" x14ac:dyDescent="0.2">
      <c r="B114" s="15" t="s">
        <v>355</v>
      </c>
      <c r="C114" s="3" t="s">
        <v>364</v>
      </c>
      <c r="D114" s="15" t="s">
        <v>365</v>
      </c>
      <c r="E114" s="3" t="s">
        <v>210</v>
      </c>
      <c r="F114" s="3" t="s">
        <v>225</v>
      </c>
      <c r="G114" s="3" t="s">
        <v>226</v>
      </c>
      <c r="H114" s="3" t="s">
        <v>70</v>
      </c>
      <c r="I114" s="3" t="s">
        <v>213</v>
      </c>
      <c r="J114" s="3" t="s">
        <v>227</v>
      </c>
      <c r="K114" s="3" t="s">
        <v>228</v>
      </c>
      <c r="L114" s="11">
        <v>3.28</v>
      </c>
      <c r="M114" s="4">
        <v>11</v>
      </c>
      <c r="N114" s="4">
        <v>81</v>
      </c>
      <c r="O114" s="5"/>
      <c r="P114" s="4">
        <v>81</v>
      </c>
      <c r="Q114" s="6" cm="1">
        <f t="array" ref="Q114">_xlfn._xlws.FILTER([1]График!$R$3:$R$89,([1]График!$F$3:$F$89=F114)*([1]График!$C$3:$C$89=C114))</f>
        <v>81</v>
      </c>
      <c r="R114" s="7">
        <v>19</v>
      </c>
      <c r="S114" s="6"/>
      <c r="T114" s="6"/>
      <c r="U114" s="6"/>
      <c r="V114" s="6"/>
      <c r="W114" s="6"/>
      <c r="X114" s="6"/>
    </row>
    <row r="115" spans="2:24" ht="22.95" customHeight="1" x14ac:dyDescent="0.2">
      <c r="B115" s="15" t="s">
        <v>355</v>
      </c>
      <c r="C115" s="3" t="s">
        <v>364</v>
      </c>
      <c r="D115" s="15" t="s">
        <v>365</v>
      </c>
      <c r="E115" s="3" t="s">
        <v>210</v>
      </c>
      <c r="F115" s="3" t="s">
        <v>229</v>
      </c>
      <c r="G115" s="3" t="s">
        <v>230</v>
      </c>
      <c r="H115" s="3" t="s">
        <v>70</v>
      </c>
      <c r="I115" s="3" t="s">
        <v>213</v>
      </c>
      <c r="J115" s="3" t="s">
        <v>231</v>
      </c>
      <c r="K115" s="3" t="s">
        <v>47</v>
      </c>
      <c r="L115" s="11">
        <v>3.28</v>
      </c>
      <c r="M115" s="5"/>
      <c r="N115" s="4">
        <v>51</v>
      </c>
      <c r="O115" s="5"/>
      <c r="P115" s="4">
        <v>51</v>
      </c>
      <c r="Q115" s="6" cm="1">
        <f t="array" ref="Q115">_xlfn._xlws.FILTER([1]График!$R$3:$R$89,([1]График!$F$3:$F$89=F115)*([1]График!$C$3:$C$89=C115))</f>
        <v>51</v>
      </c>
      <c r="R115" s="7">
        <v>36</v>
      </c>
      <c r="S115" s="7">
        <v>15</v>
      </c>
      <c r="T115" s="6"/>
      <c r="U115" s="6"/>
      <c r="V115" s="6"/>
      <c r="W115" s="6"/>
      <c r="X115" s="6"/>
    </row>
    <row r="116" spans="2:24" ht="22.95" customHeight="1" x14ac:dyDescent="0.2">
      <c r="B116" s="15" t="s">
        <v>355</v>
      </c>
      <c r="C116" s="3" t="s">
        <v>364</v>
      </c>
      <c r="D116" s="15" t="s">
        <v>365</v>
      </c>
      <c r="E116" s="3" t="s">
        <v>210</v>
      </c>
      <c r="F116" s="3" t="s">
        <v>220</v>
      </c>
      <c r="G116" s="3" t="s">
        <v>221</v>
      </c>
      <c r="H116" s="3" t="s">
        <v>70</v>
      </c>
      <c r="I116" s="3" t="s">
        <v>213</v>
      </c>
      <c r="J116" s="3" t="s">
        <v>222</v>
      </c>
      <c r="K116" s="3" t="s">
        <v>31</v>
      </c>
      <c r="L116" s="11">
        <v>3.29</v>
      </c>
      <c r="M116" s="5"/>
      <c r="N116" s="4">
        <v>46</v>
      </c>
      <c r="O116" s="5"/>
      <c r="P116" s="4">
        <v>46</v>
      </c>
      <c r="Q116" s="6" cm="1">
        <f t="array" ref="Q116">_xlfn._xlws.FILTER([1]График!$R$3:$R$89,([1]График!$F$3:$F$89=F116)*([1]График!$C$3:$C$89=C116))</f>
        <v>46</v>
      </c>
      <c r="R116" s="6"/>
      <c r="S116" s="6"/>
      <c r="T116" s="7">
        <v>46</v>
      </c>
      <c r="U116" s="6"/>
      <c r="V116" s="6"/>
      <c r="W116" s="6"/>
      <c r="X116" s="6"/>
    </row>
    <row r="117" spans="2:24" ht="22.95" customHeight="1" x14ac:dyDescent="0.2">
      <c r="B117" s="15" t="s">
        <v>355</v>
      </c>
      <c r="C117" s="3" t="s">
        <v>364</v>
      </c>
      <c r="D117" s="15" t="s">
        <v>365</v>
      </c>
      <c r="E117" s="3" t="s">
        <v>210</v>
      </c>
      <c r="F117" s="3" t="s">
        <v>235</v>
      </c>
      <c r="G117" s="3" t="s">
        <v>236</v>
      </c>
      <c r="H117" s="3" t="s">
        <v>70</v>
      </c>
      <c r="I117" s="3" t="s">
        <v>213</v>
      </c>
      <c r="J117" s="3" t="s">
        <v>237</v>
      </c>
      <c r="K117" s="3" t="s">
        <v>31</v>
      </c>
      <c r="L117" s="11">
        <v>3.29</v>
      </c>
      <c r="M117" s="5"/>
      <c r="N117" s="4">
        <v>50</v>
      </c>
      <c r="O117" s="5"/>
      <c r="P117" s="4">
        <v>50</v>
      </c>
      <c r="Q117" s="6" cm="1">
        <f t="array" ref="Q117">_xlfn._xlws.FILTER([1]График!$R$3:$R$89,([1]График!$F$3:$F$89=F117)*([1]График!$C$3:$C$89=C117))</f>
        <v>50</v>
      </c>
      <c r="R117" s="6"/>
      <c r="S117" s="7">
        <v>38</v>
      </c>
      <c r="T117" s="7">
        <v>12</v>
      </c>
      <c r="U117" s="6"/>
      <c r="V117" s="6"/>
      <c r="W117" s="6"/>
      <c r="X117" s="6"/>
    </row>
    <row r="118" spans="2:24" ht="22.95" customHeight="1" x14ac:dyDescent="0.2">
      <c r="B118" s="15" t="s">
        <v>355</v>
      </c>
      <c r="C118" s="3" t="s">
        <v>366</v>
      </c>
      <c r="D118" s="15" t="s">
        <v>367</v>
      </c>
      <c r="E118" s="3" t="s">
        <v>210</v>
      </c>
      <c r="F118" s="3" t="s">
        <v>220</v>
      </c>
      <c r="G118" s="3" t="s">
        <v>221</v>
      </c>
      <c r="H118" s="3" t="s">
        <v>70</v>
      </c>
      <c r="I118" s="3" t="s">
        <v>213</v>
      </c>
      <c r="J118" s="3" t="s">
        <v>222</v>
      </c>
      <c r="K118" s="3" t="s">
        <v>31</v>
      </c>
      <c r="L118" s="5"/>
      <c r="M118" s="5"/>
      <c r="N118" s="4">
        <v>3</v>
      </c>
      <c r="O118" s="5"/>
      <c r="P118" s="4">
        <v>3</v>
      </c>
      <c r="Q118" s="6" cm="1">
        <f t="array" ref="Q118">_xlfn._xlws.FILTER([1]График!$R$3:$R$89,([1]График!$F$3:$F$89=F118)*([1]График!$C$3:$C$89=C118))</f>
        <v>3</v>
      </c>
      <c r="R118" s="6"/>
      <c r="S118" s="6"/>
      <c r="T118" s="7">
        <v>3</v>
      </c>
      <c r="U118" s="6"/>
      <c r="V118" s="6"/>
      <c r="W118" s="6"/>
      <c r="X118" s="6"/>
    </row>
    <row r="119" spans="2:24" ht="22.95" customHeight="1" x14ac:dyDescent="0.2">
      <c r="B119" s="15" t="s">
        <v>355</v>
      </c>
      <c r="C119" s="3" t="s">
        <v>366</v>
      </c>
      <c r="D119" s="15" t="s">
        <v>367</v>
      </c>
      <c r="E119" s="3" t="s">
        <v>210</v>
      </c>
      <c r="F119" s="3" t="s">
        <v>281</v>
      </c>
      <c r="G119" s="3" t="s">
        <v>282</v>
      </c>
      <c r="H119" s="3" t="s">
        <v>70</v>
      </c>
      <c r="I119" s="3" t="s">
        <v>213</v>
      </c>
      <c r="J119" s="3" t="s">
        <v>283</v>
      </c>
      <c r="K119" s="3" t="s">
        <v>79</v>
      </c>
      <c r="L119" s="5"/>
      <c r="M119" s="5"/>
      <c r="N119" s="4">
        <v>1</v>
      </c>
      <c r="O119" s="5"/>
      <c r="P119" s="4">
        <v>1</v>
      </c>
      <c r="Q119" s="6" cm="1">
        <f t="array" ref="Q119">_xlfn._xlws.FILTER([1]График!$R$3:$R$89,([1]График!$F$3:$F$89=F119)*([1]График!$C$3:$C$89=C119))</f>
        <v>1</v>
      </c>
      <c r="R119" s="7">
        <v>1</v>
      </c>
      <c r="S119" s="6"/>
      <c r="T119" s="6"/>
      <c r="U119" s="6"/>
      <c r="V119" s="6"/>
      <c r="W119" s="6"/>
      <c r="X119" s="6"/>
    </row>
    <row r="120" spans="2:24" ht="22.95" customHeight="1" x14ac:dyDescent="0.2">
      <c r="B120" s="15" t="s">
        <v>355</v>
      </c>
      <c r="C120" s="3" t="s">
        <v>368</v>
      </c>
      <c r="D120" s="15" t="s">
        <v>369</v>
      </c>
      <c r="E120" s="3" t="s">
        <v>210</v>
      </c>
      <c r="F120" s="3" t="s">
        <v>225</v>
      </c>
      <c r="G120" s="3" t="s">
        <v>226</v>
      </c>
      <c r="H120" s="3" t="s">
        <v>70</v>
      </c>
      <c r="I120" s="3" t="s">
        <v>213</v>
      </c>
      <c r="J120" s="3" t="s">
        <v>227</v>
      </c>
      <c r="K120" s="3" t="s">
        <v>228</v>
      </c>
      <c r="L120" s="5"/>
      <c r="M120" s="5"/>
      <c r="N120" s="4">
        <v>8</v>
      </c>
      <c r="O120" s="5"/>
      <c r="P120" s="4">
        <v>8</v>
      </c>
      <c r="Q120" s="6" cm="1">
        <f t="array" ref="Q120">_xlfn._xlws.FILTER([1]График!$R$3:$R$89,([1]График!$F$3:$F$89=F120)*([1]График!$C$3:$C$89=C120))</f>
        <v>8</v>
      </c>
      <c r="R120" s="6"/>
      <c r="S120" s="6"/>
      <c r="T120" s="6"/>
      <c r="U120" s="6"/>
      <c r="V120" s="6"/>
      <c r="W120" s="6"/>
      <c r="X120" s="6"/>
    </row>
    <row r="121" spans="2:24" ht="22.95" customHeight="1" x14ac:dyDescent="0.2">
      <c r="B121" s="15" t="s">
        <v>355</v>
      </c>
      <c r="C121" s="3" t="s">
        <v>368</v>
      </c>
      <c r="D121" s="15" t="s">
        <v>369</v>
      </c>
      <c r="E121" s="3" t="s">
        <v>210</v>
      </c>
      <c r="F121" s="3" t="s">
        <v>235</v>
      </c>
      <c r="G121" s="3" t="s">
        <v>236</v>
      </c>
      <c r="H121" s="3" t="s">
        <v>70</v>
      </c>
      <c r="I121" s="3" t="s">
        <v>213</v>
      </c>
      <c r="J121" s="3" t="s">
        <v>237</v>
      </c>
      <c r="K121" s="3" t="s">
        <v>31</v>
      </c>
      <c r="L121" s="5"/>
      <c r="M121" s="5"/>
      <c r="N121" s="4">
        <v>47</v>
      </c>
      <c r="O121" s="5"/>
      <c r="P121" s="4">
        <v>47</v>
      </c>
      <c r="Q121" s="6" cm="1">
        <f t="array" ref="Q121">_xlfn._xlws.FILTER([1]График!$R$3:$R$89,([1]График!$F$3:$F$89=F121)*([1]График!$C$3:$C$89=C121))</f>
        <v>47</v>
      </c>
      <c r="R121" s="6"/>
      <c r="S121" s="7">
        <v>47</v>
      </c>
      <c r="T121" s="6"/>
      <c r="U121" s="6"/>
      <c r="V121" s="6"/>
      <c r="W121" s="6"/>
      <c r="X121" s="6"/>
    </row>
    <row r="122" spans="2:24" ht="22.95" customHeight="1" x14ac:dyDescent="0.2">
      <c r="B122" s="15" t="s">
        <v>355</v>
      </c>
      <c r="C122" s="3" t="s">
        <v>368</v>
      </c>
      <c r="D122" s="15" t="s">
        <v>369</v>
      </c>
      <c r="E122" s="3" t="s">
        <v>210</v>
      </c>
      <c r="F122" s="3" t="s">
        <v>238</v>
      </c>
      <c r="G122" s="3" t="s">
        <v>239</v>
      </c>
      <c r="H122" s="3" t="s">
        <v>70</v>
      </c>
      <c r="I122" s="3" t="s">
        <v>213</v>
      </c>
      <c r="J122" s="3" t="s">
        <v>240</v>
      </c>
      <c r="K122" s="3" t="s">
        <v>228</v>
      </c>
      <c r="L122" s="5"/>
      <c r="M122" s="5"/>
      <c r="N122" s="4">
        <v>6</v>
      </c>
      <c r="O122" s="5"/>
      <c r="P122" s="4">
        <v>6</v>
      </c>
      <c r="Q122" s="6" cm="1">
        <f t="array" ref="Q122">_xlfn._xlws.FILTER([1]График!$R$3:$R$89,([1]График!$F$3:$F$89=F122)*([1]График!$C$3:$C$89=C122))</f>
        <v>6</v>
      </c>
      <c r="R122" s="7">
        <v>6</v>
      </c>
      <c r="S122" s="6"/>
      <c r="T122" s="6"/>
      <c r="U122" s="6"/>
      <c r="V122" s="6"/>
      <c r="W122" s="6"/>
      <c r="X122" s="6"/>
    </row>
    <row r="123" spans="2:24" ht="22.95" customHeight="1" x14ac:dyDescent="0.2">
      <c r="B123" s="15" t="s">
        <v>355</v>
      </c>
      <c r="C123" s="3" t="s">
        <v>368</v>
      </c>
      <c r="D123" s="15" t="s">
        <v>369</v>
      </c>
      <c r="E123" s="3" t="s">
        <v>210</v>
      </c>
      <c r="F123" s="3" t="s">
        <v>370</v>
      </c>
      <c r="G123" s="3" t="s">
        <v>371</v>
      </c>
      <c r="H123" s="3" t="s">
        <v>70</v>
      </c>
      <c r="I123" s="3" t="s">
        <v>213</v>
      </c>
      <c r="J123" s="3" t="s">
        <v>372</v>
      </c>
      <c r="K123" s="3" t="s">
        <v>298</v>
      </c>
      <c r="L123" s="5"/>
      <c r="M123" s="5"/>
      <c r="N123" s="4">
        <v>16</v>
      </c>
      <c r="O123" s="5"/>
      <c r="P123" s="4">
        <v>16</v>
      </c>
      <c r="Q123" s="6" cm="1">
        <f t="array" ref="Q123">_xlfn._xlws.FILTER([1]График!$R$3:$R$89,([1]График!$F$3:$F$89=F123)*([1]График!$C$3:$C$89=C123))</f>
        <v>16</v>
      </c>
      <c r="R123" s="6"/>
      <c r="S123" s="6"/>
      <c r="T123" s="6"/>
      <c r="U123" s="6"/>
      <c r="V123" s="6"/>
      <c r="W123" s="6"/>
      <c r="X123" s="6"/>
    </row>
    <row r="124" spans="2:24" ht="22.95" customHeight="1" x14ac:dyDescent="0.2">
      <c r="B124" s="15" t="s">
        <v>355</v>
      </c>
      <c r="C124" s="3" t="s">
        <v>373</v>
      </c>
      <c r="D124" s="15" t="s">
        <v>374</v>
      </c>
      <c r="E124" s="3" t="s">
        <v>210</v>
      </c>
      <c r="F124" s="3" t="s">
        <v>281</v>
      </c>
      <c r="G124" s="3" t="s">
        <v>282</v>
      </c>
      <c r="H124" s="3" t="s">
        <v>70</v>
      </c>
      <c r="I124" s="3" t="s">
        <v>213</v>
      </c>
      <c r="J124" s="3" t="s">
        <v>283</v>
      </c>
      <c r="K124" s="3" t="s">
        <v>79</v>
      </c>
      <c r="L124" s="5"/>
      <c r="M124" s="5"/>
      <c r="N124" s="4">
        <v>9</v>
      </c>
      <c r="O124" s="5"/>
      <c r="P124" s="4">
        <v>9</v>
      </c>
      <c r="Q124" s="6" cm="1">
        <f t="array" ref="Q124">_xlfn._xlws.FILTER([1]График!$R$3:$R$89,([1]График!$F$3:$F$89=F124)*([1]График!$C$3:$C$89=C124))</f>
        <v>9</v>
      </c>
      <c r="R124" s="7">
        <v>9</v>
      </c>
      <c r="S124" s="6"/>
      <c r="T124" s="6"/>
      <c r="U124" s="6"/>
      <c r="V124" s="6"/>
      <c r="W124" s="6"/>
      <c r="X124" s="6"/>
    </row>
    <row r="125" spans="2:24" ht="22.95" customHeight="1" x14ac:dyDescent="0.2">
      <c r="B125" s="15" t="s">
        <v>355</v>
      </c>
      <c r="C125" s="3" t="s">
        <v>375</v>
      </c>
      <c r="D125" s="15" t="s">
        <v>376</v>
      </c>
      <c r="E125" s="3" t="s">
        <v>210</v>
      </c>
      <c r="F125" s="3" t="s">
        <v>281</v>
      </c>
      <c r="G125" s="3" t="s">
        <v>282</v>
      </c>
      <c r="H125" s="3" t="s">
        <v>70</v>
      </c>
      <c r="I125" s="3" t="s">
        <v>213</v>
      </c>
      <c r="J125" s="3" t="s">
        <v>283</v>
      </c>
      <c r="K125" s="3" t="s">
        <v>79</v>
      </c>
      <c r="L125" s="5"/>
      <c r="M125" s="5"/>
      <c r="N125" s="4">
        <v>7</v>
      </c>
      <c r="O125" s="5"/>
      <c r="P125" s="4">
        <v>7</v>
      </c>
      <c r="Q125" s="6" cm="1">
        <f t="array" ref="Q125">_xlfn._xlws.FILTER([1]График!$R$3:$R$89,([1]График!$F$3:$F$89=F125)*([1]График!$C$3:$C$89=C125))</f>
        <v>7</v>
      </c>
      <c r="R125" s="7">
        <v>7</v>
      </c>
      <c r="S125" s="6"/>
      <c r="T125" s="6"/>
      <c r="U125" s="6"/>
      <c r="V125" s="6"/>
      <c r="W125" s="6"/>
      <c r="X125" s="6"/>
    </row>
    <row r="126" spans="2:24" ht="22.95" customHeight="1" x14ac:dyDescent="0.2">
      <c r="B126" s="15" t="s">
        <v>355</v>
      </c>
      <c r="C126" s="3" t="s">
        <v>377</v>
      </c>
      <c r="D126" s="15" t="s">
        <v>378</v>
      </c>
      <c r="E126" s="3" t="s">
        <v>25</v>
      </c>
      <c r="F126" s="3" t="s">
        <v>379</v>
      </c>
      <c r="G126" s="3" t="s">
        <v>380</v>
      </c>
      <c r="H126" s="3" t="s">
        <v>28</v>
      </c>
      <c r="I126" s="3" t="s">
        <v>90</v>
      </c>
      <c r="J126" s="3" t="s">
        <v>381</v>
      </c>
      <c r="K126" s="3" t="s">
        <v>54</v>
      </c>
      <c r="L126" s="5"/>
      <c r="M126" s="5"/>
      <c r="N126" s="4">
        <v>1</v>
      </c>
      <c r="O126" s="5"/>
      <c r="P126" s="4">
        <v>1</v>
      </c>
      <c r="Q126" s="6" cm="1">
        <f t="array" ref="Q126">_xlfn._xlws.FILTER([1]График!$R$3:$R$89,([1]График!$F$3:$F$89=F126)*([1]График!$C$3:$C$89=C126))</f>
        <v>1</v>
      </c>
      <c r="R126" s="6"/>
      <c r="S126" s="6"/>
      <c r="T126" s="6"/>
      <c r="U126" s="6"/>
      <c r="V126" s="6"/>
      <c r="W126" s="6"/>
      <c r="X126" s="6"/>
    </row>
    <row r="127" spans="2:24" ht="22.95" customHeight="1" x14ac:dyDescent="0.2">
      <c r="B127" s="15" t="s">
        <v>382</v>
      </c>
      <c r="C127" s="3" t="s">
        <v>383</v>
      </c>
      <c r="D127" s="15" t="s">
        <v>384</v>
      </c>
      <c r="E127" s="3" t="s">
        <v>136</v>
      </c>
      <c r="F127" s="3" t="s">
        <v>385</v>
      </c>
      <c r="G127" s="3" t="s">
        <v>386</v>
      </c>
      <c r="H127" s="3" t="s">
        <v>139</v>
      </c>
      <c r="I127" s="3" t="s">
        <v>140</v>
      </c>
      <c r="J127" s="3" t="s">
        <v>387</v>
      </c>
      <c r="K127" s="3" t="s">
        <v>54</v>
      </c>
      <c r="L127" s="4">
        <v>39</v>
      </c>
      <c r="M127" s="5"/>
      <c r="N127" s="4">
        <v>16</v>
      </c>
      <c r="O127" s="5"/>
      <c r="P127" s="4">
        <v>16</v>
      </c>
      <c r="Q127" s="6" cm="1">
        <f t="array" ref="Q127">_xlfn._xlws.FILTER([1]График!$R$3:$R$89,([1]График!$F$3:$F$89=F127)*([1]График!$C$3:$C$89=C127))</f>
        <v>16</v>
      </c>
      <c r="R127" s="6"/>
      <c r="S127" s="6"/>
      <c r="T127" s="6"/>
      <c r="U127" s="6"/>
      <c r="V127" s="6"/>
      <c r="W127" s="6"/>
      <c r="X127" s="6"/>
    </row>
    <row r="128" spans="2:24" ht="10.95" customHeight="1" x14ac:dyDescent="0.2">
      <c r="B128" s="15" t="s">
        <v>382</v>
      </c>
      <c r="C128" s="3" t="s">
        <v>388</v>
      </c>
      <c r="D128" s="15" t="s">
        <v>389</v>
      </c>
      <c r="E128" s="3" t="s">
        <v>136</v>
      </c>
      <c r="F128" s="3" t="s">
        <v>390</v>
      </c>
      <c r="G128" s="3" t="s">
        <v>391</v>
      </c>
      <c r="H128" s="3" t="s">
        <v>139</v>
      </c>
      <c r="I128" s="3" t="s">
        <v>140</v>
      </c>
      <c r="J128" s="3" t="s">
        <v>392</v>
      </c>
      <c r="K128" s="3" t="s">
        <v>105</v>
      </c>
      <c r="L128" s="5"/>
      <c r="M128" s="5"/>
      <c r="N128" s="4">
        <v>271</v>
      </c>
      <c r="O128" s="5"/>
      <c r="P128" s="4">
        <v>271</v>
      </c>
      <c r="Q128" s="6" cm="1">
        <f t="array" ref="Q128">_xlfn._xlws.FILTER([1]График!$R$3:$R$89,([1]График!$F$3:$F$89=F128)*([1]График!$C$3:$C$89=C128))</f>
        <v>271</v>
      </c>
      <c r="R128" s="6"/>
      <c r="S128" s="6"/>
      <c r="T128" s="6"/>
      <c r="U128" s="6"/>
      <c r="V128" s="6"/>
      <c r="W128" s="6"/>
      <c r="X128" s="6"/>
    </row>
    <row r="129" spans="2:24" ht="22.95" customHeight="1" x14ac:dyDescent="0.2">
      <c r="B129" s="15" t="s">
        <v>393</v>
      </c>
      <c r="C129" s="3" t="s">
        <v>394</v>
      </c>
      <c r="D129" s="15" t="s">
        <v>395</v>
      </c>
      <c r="E129" s="3" t="s">
        <v>136</v>
      </c>
      <c r="F129" s="3" t="s">
        <v>396</v>
      </c>
      <c r="G129" s="3" t="s">
        <v>397</v>
      </c>
      <c r="H129" s="3" t="s">
        <v>139</v>
      </c>
      <c r="I129" s="3" t="s">
        <v>140</v>
      </c>
      <c r="J129" s="3" t="s">
        <v>398</v>
      </c>
      <c r="K129" s="3" t="s">
        <v>31</v>
      </c>
      <c r="L129" s="5"/>
      <c r="M129" s="5"/>
      <c r="N129" s="4">
        <v>60</v>
      </c>
      <c r="O129" s="5"/>
      <c r="P129" s="4">
        <v>60</v>
      </c>
      <c r="Q129" s="6" t="e" cm="1" vm="1">
        <f t="array" ref="Q129">_xlfn._xlws.FILTER([1]График!$R$3:$R$89,([1]График!$F$3:$F$89=F129)*([1]График!$C$3:$C$89=C129))</f>
        <v>#VALUE!</v>
      </c>
      <c r="R129" s="6"/>
      <c r="S129" s="6"/>
      <c r="T129" s="6"/>
      <c r="U129" s="6"/>
      <c r="V129" s="6"/>
      <c r="W129" s="6"/>
      <c r="X129" s="6"/>
    </row>
    <row r="130" spans="2:24" ht="22.95" customHeight="1" x14ac:dyDescent="0.2">
      <c r="B130" s="15" t="s">
        <v>393</v>
      </c>
      <c r="C130" s="3" t="s">
        <v>399</v>
      </c>
      <c r="D130" s="15" t="s">
        <v>400</v>
      </c>
      <c r="E130" s="3" t="s">
        <v>136</v>
      </c>
      <c r="F130" s="3" t="s">
        <v>401</v>
      </c>
      <c r="G130" s="3" t="s">
        <v>402</v>
      </c>
      <c r="H130" s="3" t="s">
        <v>139</v>
      </c>
      <c r="I130" s="3" t="s">
        <v>140</v>
      </c>
      <c r="J130" s="3" t="s">
        <v>403</v>
      </c>
      <c r="K130" s="3" t="s">
        <v>31</v>
      </c>
      <c r="L130" s="5"/>
      <c r="M130" s="5"/>
      <c r="N130" s="4">
        <v>80</v>
      </c>
      <c r="O130" s="5"/>
      <c r="P130" s="4">
        <v>80</v>
      </c>
      <c r="Q130" s="6" t="e" cm="1" vm="1">
        <f t="array" ref="Q130">_xlfn._xlws.FILTER([1]График!$R$3:$R$89,([1]График!$F$3:$F$89=F130)*([1]График!$C$3:$C$89=C130))</f>
        <v>#VALUE!</v>
      </c>
      <c r="R130" s="6"/>
      <c r="S130" s="6"/>
      <c r="T130" s="6"/>
      <c r="U130" s="6"/>
      <c r="V130" s="6"/>
      <c r="W130" s="6"/>
      <c r="X130" s="6"/>
    </row>
    <row r="131" spans="2:24" ht="22.95" customHeight="1" x14ac:dyDescent="0.2">
      <c r="B131" s="15" t="s">
        <v>404</v>
      </c>
      <c r="C131" s="3" t="s">
        <v>405</v>
      </c>
      <c r="D131" s="15" t="s">
        <v>406</v>
      </c>
      <c r="E131" s="3" t="s">
        <v>407</v>
      </c>
      <c r="F131" s="3" t="s">
        <v>408</v>
      </c>
      <c r="G131" s="3" t="s">
        <v>409</v>
      </c>
      <c r="H131" s="3" t="s">
        <v>35</v>
      </c>
      <c r="I131" s="3" t="s">
        <v>132</v>
      </c>
      <c r="J131" s="3" t="s">
        <v>410</v>
      </c>
      <c r="K131" s="3" t="s">
        <v>56</v>
      </c>
      <c r="L131" s="5"/>
      <c r="M131" s="5"/>
      <c r="N131" s="4">
        <v>9</v>
      </c>
      <c r="O131" s="5"/>
      <c r="P131" s="4">
        <v>9</v>
      </c>
      <c r="Q131" s="6" cm="1">
        <f t="array" ref="Q131">_xlfn._xlws.FILTER([1]График!$R$3:$R$89,([1]График!$F$3:$F$89=F131)*([1]График!$C$3:$C$89=C131))</f>
        <v>9</v>
      </c>
      <c r="R131" s="6"/>
      <c r="S131" s="6"/>
      <c r="T131" s="6"/>
      <c r="U131" s="6"/>
      <c r="V131" s="6"/>
      <c r="W131" s="6"/>
      <c r="X131" s="6"/>
    </row>
    <row r="132" spans="2:24" ht="22.95" customHeight="1" x14ac:dyDescent="0.2">
      <c r="B132" s="15" t="s">
        <v>404</v>
      </c>
      <c r="C132" s="3" t="s">
        <v>411</v>
      </c>
      <c r="D132" s="15" t="s">
        <v>412</v>
      </c>
      <c r="E132" s="3" t="s">
        <v>25</v>
      </c>
      <c r="F132" s="3" t="s">
        <v>413</v>
      </c>
      <c r="G132" s="3" t="s">
        <v>414</v>
      </c>
      <c r="H132" s="3" t="s">
        <v>28</v>
      </c>
      <c r="I132" s="3" t="s">
        <v>90</v>
      </c>
      <c r="J132" s="3" t="s">
        <v>415</v>
      </c>
      <c r="K132" s="3" t="s">
        <v>31</v>
      </c>
      <c r="L132" s="5"/>
      <c r="M132" s="5"/>
      <c r="N132" s="4">
        <v>15</v>
      </c>
      <c r="O132" s="5"/>
      <c r="P132" s="4">
        <v>15</v>
      </c>
      <c r="Q132" s="6" cm="1">
        <f t="array" ref="Q132">_xlfn._xlws.FILTER([1]График!$R$3:$R$89,([1]График!$F$3:$F$89=F132)*([1]График!$C$3:$C$89=C132))</f>
        <v>15</v>
      </c>
      <c r="R132" s="6"/>
      <c r="S132" s="6"/>
      <c r="T132" s="6"/>
      <c r="U132" s="6"/>
      <c r="V132" s="6"/>
      <c r="W132" s="6"/>
      <c r="X132" s="6"/>
    </row>
    <row r="133" spans="2:24" ht="22.95" customHeight="1" x14ac:dyDescent="0.2">
      <c r="B133" s="15" t="s">
        <v>404</v>
      </c>
      <c r="C133" s="3" t="s">
        <v>416</v>
      </c>
      <c r="D133" s="15" t="s">
        <v>417</v>
      </c>
      <c r="E133" s="3" t="s">
        <v>25</v>
      </c>
      <c r="F133" s="3" t="s">
        <v>418</v>
      </c>
      <c r="G133" s="3" t="s">
        <v>419</v>
      </c>
      <c r="H133" s="3" t="s">
        <v>28</v>
      </c>
      <c r="I133" s="3" t="s">
        <v>90</v>
      </c>
      <c r="J133" s="3" t="s">
        <v>420</v>
      </c>
      <c r="K133" s="3" t="s">
        <v>54</v>
      </c>
      <c r="L133" s="4">
        <v>20</v>
      </c>
      <c r="M133" s="5"/>
      <c r="N133" s="4">
        <v>20</v>
      </c>
      <c r="O133" s="5"/>
      <c r="P133" s="4">
        <v>20</v>
      </c>
      <c r="Q133" s="6" cm="1">
        <f t="array" ref="Q133">_xlfn._xlws.FILTER([1]График!$R$3:$R$89,([1]График!$F$3:$F$89=F133)*([1]График!$C$3:$C$89=C133))</f>
        <v>20</v>
      </c>
      <c r="R133" s="6"/>
      <c r="S133" s="6"/>
      <c r="T133" s="6"/>
      <c r="U133" s="6"/>
      <c r="V133" s="6"/>
      <c r="W133" s="6"/>
      <c r="X133" s="6"/>
    </row>
    <row r="134" spans="2:24" ht="22.95" customHeight="1" x14ac:dyDescent="0.2">
      <c r="B134" s="15" t="s">
        <v>421</v>
      </c>
      <c r="C134" s="3" t="s">
        <v>422</v>
      </c>
      <c r="D134" s="15" t="s">
        <v>423</v>
      </c>
      <c r="E134" s="3" t="s">
        <v>210</v>
      </c>
      <c r="F134" s="3" t="s">
        <v>215</v>
      </c>
      <c r="G134" s="3" t="s">
        <v>216</v>
      </c>
      <c r="H134" s="3" t="s">
        <v>70</v>
      </c>
      <c r="I134" s="3" t="s">
        <v>213</v>
      </c>
      <c r="J134" s="3" t="s">
        <v>217</v>
      </c>
      <c r="K134" s="3" t="s">
        <v>31</v>
      </c>
      <c r="L134" s="4">
        <v>129</v>
      </c>
      <c r="M134" s="5"/>
      <c r="N134" s="4">
        <v>88</v>
      </c>
      <c r="O134" s="5"/>
      <c r="P134" s="4">
        <v>88</v>
      </c>
      <c r="Q134" s="6" cm="1">
        <f t="array" ref="Q134">_xlfn._xlws.FILTER([1]График!$R$3:$R$89,([1]График!$F$3:$F$89=F134)*([1]График!$C$3:$C$89=C134))</f>
        <v>88</v>
      </c>
      <c r="R134" s="6"/>
      <c r="S134" s="6"/>
      <c r="T134" s="6"/>
      <c r="U134" s="6"/>
      <c r="V134" s="6"/>
      <c r="W134" s="6"/>
      <c r="X134" s="6"/>
    </row>
    <row r="135" spans="2:24" ht="22.95" customHeight="1" x14ac:dyDescent="0.2">
      <c r="B135" s="15" t="s">
        <v>421</v>
      </c>
      <c r="C135" s="3" t="s">
        <v>422</v>
      </c>
      <c r="D135" s="15" t="s">
        <v>423</v>
      </c>
      <c r="E135" s="3" t="s">
        <v>210</v>
      </c>
      <c r="F135" s="3" t="s">
        <v>211</v>
      </c>
      <c r="G135" s="3" t="s">
        <v>212</v>
      </c>
      <c r="H135" s="3" t="s">
        <v>70</v>
      </c>
      <c r="I135" s="3" t="s">
        <v>213</v>
      </c>
      <c r="J135" s="3" t="s">
        <v>214</v>
      </c>
      <c r="K135" s="3" t="s">
        <v>31</v>
      </c>
      <c r="L135" s="4">
        <v>129</v>
      </c>
      <c r="M135" s="5"/>
      <c r="N135" s="4">
        <v>178</v>
      </c>
      <c r="O135" s="5"/>
      <c r="P135" s="4">
        <v>178</v>
      </c>
      <c r="Q135" s="6" cm="1">
        <f t="array" ref="Q135">_xlfn._xlws.FILTER([1]График!$R$3:$R$89,([1]График!$F$3:$F$89=F135)*([1]График!$C$3:$C$89=C135))</f>
        <v>178</v>
      </c>
      <c r="R135" s="6"/>
      <c r="S135" s="6"/>
      <c r="T135" s="6"/>
      <c r="U135" s="6"/>
      <c r="V135" s="6"/>
      <c r="W135" s="6"/>
      <c r="X135" s="6"/>
    </row>
    <row r="136" spans="2:24" ht="22.95" customHeight="1" x14ac:dyDescent="0.2">
      <c r="B136" s="15" t="s">
        <v>421</v>
      </c>
      <c r="C136" s="3" t="s">
        <v>424</v>
      </c>
      <c r="D136" s="15" t="s">
        <v>425</v>
      </c>
      <c r="E136" s="3" t="s">
        <v>210</v>
      </c>
      <c r="F136" s="3" t="s">
        <v>215</v>
      </c>
      <c r="G136" s="3" t="s">
        <v>216</v>
      </c>
      <c r="H136" s="3" t="s">
        <v>70</v>
      </c>
      <c r="I136" s="3" t="s">
        <v>213</v>
      </c>
      <c r="J136" s="3" t="s">
        <v>217</v>
      </c>
      <c r="K136" s="3" t="s">
        <v>31</v>
      </c>
      <c r="L136" s="12">
        <v>4.2</v>
      </c>
      <c r="M136" s="5"/>
      <c r="N136" s="4">
        <v>31</v>
      </c>
      <c r="O136" s="5"/>
      <c r="P136" s="4">
        <v>31</v>
      </c>
      <c r="Q136" s="6" cm="1">
        <f t="array" ref="Q136">_xlfn._xlws.FILTER([1]График!$R$3:$R$89,([1]График!$F$3:$F$89=F136)*([1]График!$C$3:$C$89=C136))</f>
        <v>31</v>
      </c>
      <c r="R136" s="6"/>
      <c r="S136" s="6"/>
      <c r="T136" s="6"/>
      <c r="U136" s="6"/>
      <c r="V136" s="6"/>
      <c r="W136" s="6"/>
      <c r="X136" s="6"/>
    </row>
    <row r="137" spans="2:24" ht="22.95" customHeight="1" x14ac:dyDescent="0.2">
      <c r="B137" s="15" t="s">
        <v>421</v>
      </c>
      <c r="C137" s="3" t="s">
        <v>424</v>
      </c>
      <c r="D137" s="15" t="s">
        <v>425</v>
      </c>
      <c r="E137" s="3" t="s">
        <v>210</v>
      </c>
      <c r="F137" s="3" t="s">
        <v>220</v>
      </c>
      <c r="G137" s="3" t="s">
        <v>221</v>
      </c>
      <c r="H137" s="3" t="s">
        <v>70</v>
      </c>
      <c r="I137" s="3" t="s">
        <v>213</v>
      </c>
      <c r="J137" s="3" t="s">
        <v>222</v>
      </c>
      <c r="K137" s="3" t="s">
        <v>31</v>
      </c>
      <c r="L137" s="12">
        <v>4.2</v>
      </c>
      <c r="M137" s="5"/>
      <c r="N137" s="4">
        <v>14</v>
      </c>
      <c r="O137" s="5"/>
      <c r="P137" s="4">
        <v>14</v>
      </c>
      <c r="Q137" s="6" cm="1">
        <f t="array" ref="Q137">_xlfn._xlws.FILTER([1]График!$R$3:$R$89,([1]График!$F$3:$F$89=F137)*([1]График!$C$3:$C$89=C137))</f>
        <v>14</v>
      </c>
      <c r="R137" s="6"/>
      <c r="S137" s="6"/>
      <c r="T137" s="6"/>
      <c r="U137" s="6"/>
      <c r="V137" s="6"/>
      <c r="W137" s="6"/>
      <c r="X137" s="6"/>
    </row>
    <row r="138" spans="2:24" ht="22.95" customHeight="1" x14ac:dyDescent="0.2">
      <c r="B138" s="15" t="s">
        <v>421</v>
      </c>
      <c r="C138" s="3" t="s">
        <v>424</v>
      </c>
      <c r="D138" s="15" t="s">
        <v>425</v>
      </c>
      <c r="E138" s="3" t="s">
        <v>210</v>
      </c>
      <c r="F138" s="3" t="s">
        <v>211</v>
      </c>
      <c r="G138" s="3" t="s">
        <v>212</v>
      </c>
      <c r="H138" s="3" t="s">
        <v>70</v>
      </c>
      <c r="I138" s="3" t="s">
        <v>213</v>
      </c>
      <c r="J138" s="3" t="s">
        <v>214</v>
      </c>
      <c r="K138" s="3" t="s">
        <v>31</v>
      </c>
      <c r="L138" s="12">
        <v>4.2</v>
      </c>
      <c r="M138" s="5"/>
      <c r="N138" s="4">
        <v>1</v>
      </c>
      <c r="O138" s="5"/>
      <c r="P138" s="4">
        <v>1</v>
      </c>
      <c r="Q138" s="6" cm="1">
        <f t="array" ref="Q138">_xlfn._xlws.FILTER([1]График!$R$3:$R$89,([1]График!$F$3:$F$89=F138)*([1]График!$C$3:$C$89=C138))</f>
        <v>1</v>
      </c>
      <c r="R138" s="6"/>
      <c r="S138" s="6"/>
      <c r="T138" s="6"/>
      <c r="U138" s="6"/>
      <c r="V138" s="6"/>
      <c r="W138" s="6"/>
      <c r="X138" s="6"/>
    </row>
    <row r="139" spans="2:24" ht="22.95" customHeight="1" x14ac:dyDescent="0.2">
      <c r="B139" s="15" t="s">
        <v>421</v>
      </c>
      <c r="C139" s="3" t="s">
        <v>424</v>
      </c>
      <c r="D139" s="15" t="s">
        <v>425</v>
      </c>
      <c r="E139" s="3" t="s">
        <v>210</v>
      </c>
      <c r="F139" s="3" t="s">
        <v>235</v>
      </c>
      <c r="G139" s="3" t="s">
        <v>236</v>
      </c>
      <c r="H139" s="3" t="s">
        <v>70</v>
      </c>
      <c r="I139" s="3" t="s">
        <v>213</v>
      </c>
      <c r="J139" s="3" t="s">
        <v>237</v>
      </c>
      <c r="K139" s="3" t="s">
        <v>31</v>
      </c>
      <c r="L139" s="12">
        <v>4.2</v>
      </c>
      <c r="M139" s="5"/>
      <c r="N139" s="4">
        <v>23</v>
      </c>
      <c r="O139" s="5"/>
      <c r="P139" s="4">
        <v>23</v>
      </c>
      <c r="Q139" s="6" cm="1">
        <f t="array" ref="Q139">_xlfn._xlws.FILTER([1]График!$R$3:$R$89,([1]График!$F$3:$F$89=F139)*([1]График!$C$3:$C$89=C139))</f>
        <v>23</v>
      </c>
      <c r="R139" s="6"/>
      <c r="S139" s="6"/>
      <c r="T139" s="6"/>
      <c r="U139" s="6"/>
      <c r="V139" s="6"/>
      <c r="W139" s="6"/>
      <c r="X139" s="6"/>
    </row>
    <row r="140" spans="2:24" ht="22.95" customHeight="1" x14ac:dyDescent="0.2">
      <c r="B140" s="15" t="s">
        <v>421</v>
      </c>
      <c r="C140" s="3" t="s">
        <v>424</v>
      </c>
      <c r="D140" s="15" t="s">
        <v>425</v>
      </c>
      <c r="E140" s="3" t="s">
        <v>210</v>
      </c>
      <c r="F140" s="3" t="s">
        <v>238</v>
      </c>
      <c r="G140" s="3" t="s">
        <v>239</v>
      </c>
      <c r="H140" s="3" t="s">
        <v>70</v>
      </c>
      <c r="I140" s="3" t="s">
        <v>213</v>
      </c>
      <c r="J140" s="3" t="s">
        <v>240</v>
      </c>
      <c r="K140" s="3" t="s">
        <v>228</v>
      </c>
      <c r="L140" s="12">
        <v>4.2</v>
      </c>
      <c r="M140" s="4">
        <v>11</v>
      </c>
      <c r="N140" s="4">
        <v>37</v>
      </c>
      <c r="O140" s="5"/>
      <c r="P140" s="4">
        <v>37</v>
      </c>
      <c r="Q140" s="6" cm="1">
        <f t="array" ref="Q140">_xlfn._xlws.FILTER([1]График!$R$3:$R$89,([1]График!$F$3:$F$89=F140)*([1]График!$C$3:$C$89=C140))</f>
        <v>37</v>
      </c>
      <c r="R140" s="6"/>
      <c r="S140" s="6"/>
      <c r="T140" s="6"/>
      <c r="U140" s="6"/>
      <c r="V140" s="6"/>
      <c r="W140" s="6"/>
      <c r="X140" s="6"/>
    </row>
    <row r="141" spans="2:24" ht="22.95" customHeight="1" x14ac:dyDescent="0.2">
      <c r="B141" s="15" t="s">
        <v>421</v>
      </c>
      <c r="C141" s="3" t="s">
        <v>426</v>
      </c>
      <c r="D141" s="15" t="s">
        <v>427</v>
      </c>
      <c r="E141" s="3" t="s">
        <v>25</v>
      </c>
      <c r="F141" s="3" t="s">
        <v>428</v>
      </c>
      <c r="G141" s="3" t="s">
        <v>429</v>
      </c>
      <c r="H141" s="3" t="s">
        <v>28</v>
      </c>
      <c r="I141" s="3" t="s">
        <v>90</v>
      </c>
      <c r="J141" s="3" t="s">
        <v>430</v>
      </c>
      <c r="K141" s="3" t="s">
        <v>54</v>
      </c>
      <c r="L141" s="5"/>
      <c r="M141" s="5"/>
      <c r="N141" s="4">
        <v>2</v>
      </c>
      <c r="O141" s="5"/>
      <c r="P141" s="4">
        <v>2</v>
      </c>
      <c r="Q141" s="6" cm="1">
        <f t="array" ref="Q141">_xlfn._xlws.FILTER([1]График!$R$3:$R$89,([1]График!$F$3:$F$89=F141)*([1]График!$C$3:$C$89=C141))</f>
        <v>2</v>
      </c>
      <c r="R141" s="6"/>
      <c r="S141" s="6"/>
      <c r="T141" s="6"/>
      <c r="U141" s="6"/>
      <c r="V141" s="6"/>
      <c r="W141" s="6"/>
      <c r="X141" s="6"/>
    </row>
    <row r="142" spans="2:24" ht="22.95" customHeight="1" x14ac:dyDescent="0.2">
      <c r="B142" s="15" t="s">
        <v>431</v>
      </c>
      <c r="C142" s="3" t="s">
        <v>432</v>
      </c>
      <c r="D142" s="15" t="s">
        <v>433</v>
      </c>
      <c r="E142" s="3" t="s">
        <v>25</v>
      </c>
      <c r="F142" s="3" t="s">
        <v>26</v>
      </c>
      <c r="G142" s="3" t="s">
        <v>27</v>
      </c>
      <c r="H142" s="3" t="s">
        <v>28</v>
      </c>
      <c r="I142" s="3" t="s">
        <v>29</v>
      </c>
      <c r="J142" s="3" t="s">
        <v>30</v>
      </c>
      <c r="K142" s="3" t="s">
        <v>31</v>
      </c>
      <c r="L142" s="5"/>
      <c r="M142" s="5"/>
      <c r="N142" s="4">
        <v>31</v>
      </c>
      <c r="O142" s="5"/>
      <c r="P142" s="4">
        <v>31</v>
      </c>
      <c r="Q142" s="6" cm="1">
        <f t="array" ref="Q142">_xlfn._xlws.FILTER([1]График!$R$3:$R$89,([1]График!$F$3:$F$89=F142)*([1]График!$C$3:$C$89=C142))</f>
        <v>31</v>
      </c>
      <c r="R142" s="6"/>
      <c r="S142" s="6"/>
      <c r="T142" s="6"/>
      <c r="U142" s="6"/>
      <c r="V142" s="6"/>
      <c r="W142" s="6"/>
      <c r="X142" s="6"/>
    </row>
    <row r="143" spans="2:24" ht="22.95" customHeight="1" x14ac:dyDescent="0.2">
      <c r="B143" s="15" t="s">
        <v>434</v>
      </c>
      <c r="C143" s="3" t="s">
        <v>435</v>
      </c>
      <c r="D143" s="15" t="s">
        <v>436</v>
      </c>
      <c r="E143" s="3" t="s">
        <v>136</v>
      </c>
      <c r="F143" s="3" t="s">
        <v>437</v>
      </c>
      <c r="G143" s="3" t="s">
        <v>438</v>
      </c>
      <c r="H143" s="3" t="s">
        <v>139</v>
      </c>
      <c r="I143" s="3" t="s">
        <v>52</v>
      </c>
      <c r="J143" s="3" t="s">
        <v>141</v>
      </c>
      <c r="K143" s="3" t="s">
        <v>54</v>
      </c>
      <c r="L143" s="5"/>
      <c r="M143" s="5"/>
      <c r="N143" s="4">
        <v>100</v>
      </c>
      <c r="O143" s="5"/>
      <c r="P143" s="4">
        <v>100</v>
      </c>
      <c r="Q143" s="6" cm="1">
        <f t="array" ref="Q143">_xlfn._xlws.FILTER([1]График!$R$3:$R$89,([1]График!$F$3:$F$89=F143)*([1]График!$C$3:$C$89=C143))</f>
        <v>100</v>
      </c>
      <c r="R143" s="7">
        <v>100</v>
      </c>
      <c r="S143" s="6"/>
      <c r="T143" s="6"/>
      <c r="U143" s="6"/>
      <c r="V143" s="6"/>
      <c r="W143" s="6"/>
      <c r="X143" s="6"/>
    </row>
    <row r="144" spans="2:24" ht="22.95" customHeight="1" x14ac:dyDescent="0.2">
      <c r="B144" s="15" t="s">
        <v>434</v>
      </c>
      <c r="C144" s="3" t="s">
        <v>435</v>
      </c>
      <c r="D144" s="15" t="s">
        <v>436</v>
      </c>
      <c r="E144" s="3" t="s">
        <v>136</v>
      </c>
      <c r="F144" s="3" t="s">
        <v>439</v>
      </c>
      <c r="G144" s="3" t="s">
        <v>440</v>
      </c>
      <c r="H144" s="3" t="s">
        <v>139</v>
      </c>
      <c r="I144" s="3" t="s">
        <v>52</v>
      </c>
      <c r="J144" s="3" t="s">
        <v>441</v>
      </c>
      <c r="K144" s="3" t="s">
        <v>54</v>
      </c>
      <c r="L144" s="5"/>
      <c r="M144" s="5"/>
      <c r="N144" s="4">
        <v>100</v>
      </c>
      <c r="O144" s="5"/>
      <c r="P144" s="4">
        <v>100</v>
      </c>
      <c r="Q144" s="6" cm="1">
        <f t="array" ref="Q144">_xlfn._xlws.FILTER([1]График!$R$3:$R$89,([1]График!$F$3:$F$89=F144)*([1]График!$C$3:$C$89=C144))</f>
        <v>100</v>
      </c>
      <c r="R144" s="6"/>
      <c r="S144" s="6"/>
      <c r="T144" s="6"/>
      <c r="U144" s="6"/>
      <c r="V144" s="6"/>
      <c r="W144" s="6"/>
      <c r="X144" s="6"/>
    </row>
    <row r="145" spans="2:24" ht="10.95" customHeight="1" x14ac:dyDescent="0.2">
      <c r="B145" s="15" t="s">
        <v>434</v>
      </c>
      <c r="C145" s="3" t="s">
        <v>442</v>
      </c>
      <c r="D145" s="15" t="s">
        <v>443</v>
      </c>
      <c r="E145" s="3" t="s">
        <v>136</v>
      </c>
      <c r="F145" s="3" t="s">
        <v>444</v>
      </c>
      <c r="G145" s="3" t="s">
        <v>445</v>
      </c>
      <c r="H145" s="3" t="s">
        <v>139</v>
      </c>
      <c r="I145" s="3" t="s">
        <v>52</v>
      </c>
      <c r="J145" s="3" t="s">
        <v>446</v>
      </c>
      <c r="K145" s="3" t="s">
        <v>54</v>
      </c>
      <c r="L145" s="5"/>
      <c r="M145" s="5"/>
      <c r="N145" s="4">
        <v>32</v>
      </c>
      <c r="O145" s="5"/>
      <c r="P145" s="4">
        <v>32</v>
      </c>
      <c r="Q145" s="6" cm="1">
        <f t="array" ref="Q145">_xlfn._xlws.FILTER([1]График!$R$3:$R$89,([1]График!$F$3:$F$89=F145)*([1]График!$C$3:$C$89=C145))</f>
        <v>32</v>
      </c>
      <c r="R145" s="6"/>
      <c r="S145" s="7">
        <v>32</v>
      </c>
      <c r="T145" s="6"/>
      <c r="U145" s="6"/>
      <c r="V145" s="6"/>
      <c r="W145" s="6"/>
      <c r="X145" s="6"/>
    </row>
    <row r="146" spans="2:24" ht="22.95" customHeight="1" x14ac:dyDescent="0.2">
      <c r="B146" s="15" t="s">
        <v>447</v>
      </c>
      <c r="C146" s="3" t="s">
        <v>448</v>
      </c>
      <c r="D146" s="15" t="s">
        <v>449</v>
      </c>
      <c r="E146" s="3" t="s">
        <v>25</v>
      </c>
      <c r="F146" s="3" t="s">
        <v>450</v>
      </c>
      <c r="G146" s="3" t="s">
        <v>451</v>
      </c>
      <c r="H146" s="3" t="s">
        <v>28</v>
      </c>
      <c r="I146" s="3" t="s">
        <v>90</v>
      </c>
      <c r="J146" s="3" t="s">
        <v>452</v>
      </c>
      <c r="K146" s="3" t="s">
        <v>54</v>
      </c>
      <c r="L146" s="5"/>
      <c r="M146" s="5"/>
      <c r="N146" s="4">
        <v>8</v>
      </c>
      <c r="O146" s="5"/>
      <c r="P146" s="4">
        <v>8</v>
      </c>
      <c r="Q146" s="6" cm="1">
        <f t="array" ref="Q146">_xlfn._xlws.FILTER([1]График!$R$3:$R$89,([1]График!$F$3:$F$89=F146)*([1]График!$C$3:$C$89=C146))</f>
        <v>8</v>
      </c>
      <c r="R146" s="6"/>
      <c r="S146" s="6"/>
      <c r="T146" s="6"/>
      <c r="U146" s="6"/>
      <c r="V146" s="6"/>
      <c r="W146" s="6"/>
      <c r="X146" s="6"/>
    </row>
    <row r="147" spans="2:24" ht="22.95" customHeight="1" x14ac:dyDescent="0.2">
      <c r="B147" s="17" t="s">
        <v>447</v>
      </c>
      <c r="C147" s="8" t="s">
        <v>453</v>
      </c>
      <c r="D147" s="17" t="s">
        <v>454</v>
      </c>
      <c r="E147" s="8" t="s">
        <v>455</v>
      </c>
      <c r="F147" s="8" t="s">
        <v>456</v>
      </c>
      <c r="G147" s="8" t="s">
        <v>457</v>
      </c>
      <c r="H147" s="8" t="s">
        <v>458</v>
      </c>
      <c r="I147" s="8" t="s">
        <v>132</v>
      </c>
      <c r="J147" s="8" t="s">
        <v>459</v>
      </c>
      <c r="K147" s="8" t="s">
        <v>66</v>
      </c>
      <c r="L147" s="6"/>
      <c r="M147" s="6"/>
      <c r="N147" s="7">
        <v>10</v>
      </c>
      <c r="O147" s="6"/>
      <c r="P147" s="7">
        <v>10</v>
      </c>
      <c r="Q147" s="6" t="e" cm="1" vm="1">
        <f t="array" ref="Q147">_xlfn._xlws.FILTER([1]График!$R$3:$R$89,([1]График!$F$3:$F$89=F147)*([1]График!$C$3:$C$89=C147))</f>
        <v>#VALUE!</v>
      </c>
      <c r="R147" s="6"/>
      <c r="S147" s="6"/>
      <c r="T147" s="6"/>
      <c r="U147" s="6"/>
      <c r="V147" s="6"/>
      <c r="W147" s="6"/>
      <c r="X147" s="6"/>
    </row>
    <row r="148" spans="2:24" ht="22.95" customHeight="1" x14ac:dyDescent="0.2">
      <c r="B148" s="15" t="s">
        <v>460</v>
      </c>
      <c r="C148" s="3" t="s">
        <v>461</v>
      </c>
      <c r="D148" s="15" t="s">
        <v>462</v>
      </c>
      <c r="E148" s="3" t="s">
        <v>463</v>
      </c>
      <c r="F148" s="3" t="s">
        <v>464</v>
      </c>
      <c r="G148" s="3" t="s">
        <v>465</v>
      </c>
      <c r="H148" s="3" t="s">
        <v>44</v>
      </c>
      <c r="I148" s="3" t="s">
        <v>158</v>
      </c>
      <c r="J148" s="3" t="s">
        <v>466</v>
      </c>
      <c r="K148" s="3" t="s">
        <v>71</v>
      </c>
      <c r="L148" s="5"/>
      <c r="M148" s="5"/>
      <c r="N148" s="4">
        <v>3</v>
      </c>
      <c r="O148" s="5"/>
      <c r="P148" s="4">
        <v>3</v>
      </c>
      <c r="Q148" s="6" cm="1">
        <f t="array" ref="Q148">_xlfn._xlws.FILTER([1]График!$R$3:$R$89,([1]График!$F$3:$F$89=F148)*([1]График!$C$3:$C$89=C148))</f>
        <v>3</v>
      </c>
      <c r="R148" s="6"/>
      <c r="S148" s="6"/>
      <c r="T148" s="6"/>
      <c r="U148" s="6"/>
      <c r="V148" s="6"/>
      <c r="W148" s="6"/>
      <c r="X148" s="7">
        <v>3</v>
      </c>
    </row>
    <row r="149" spans="2:24" ht="22.95" customHeight="1" x14ac:dyDescent="0.2">
      <c r="B149" s="15" t="s">
        <v>460</v>
      </c>
      <c r="C149" s="3" t="s">
        <v>467</v>
      </c>
      <c r="D149" s="15" t="s">
        <v>468</v>
      </c>
      <c r="E149" s="3" t="s">
        <v>25</v>
      </c>
      <c r="F149" s="3" t="s">
        <v>469</v>
      </c>
      <c r="G149" s="3" t="s">
        <v>470</v>
      </c>
      <c r="H149" s="3" t="s">
        <v>28</v>
      </c>
      <c r="I149" s="3" t="s">
        <v>52</v>
      </c>
      <c r="J149" s="3" t="s">
        <v>471</v>
      </c>
      <c r="K149" s="3" t="s">
        <v>79</v>
      </c>
      <c r="L149" s="5"/>
      <c r="M149" s="5"/>
      <c r="N149" s="4">
        <v>16</v>
      </c>
      <c r="O149" s="5"/>
      <c r="P149" s="4">
        <v>16</v>
      </c>
      <c r="Q149" s="6" cm="1">
        <f t="array" ref="Q149">_xlfn._xlws.FILTER([1]График!$R$3:$R$89,([1]График!$F$3:$F$89=F149)*([1]График!$C$3:$C$89=C149))</f>
        <v>16</v>
      </c>
      <c r="R149" s="6"/>
      <c r="S149" s="6"/>
      <c r="T149" s="6"/>
      <c r="U149" s="6"/>
      <c r="V149" s="6"/>
      <c r="W149" s="6"/>
      <c r="X149" s="6"/>
    </row>
    <row r="150" spans="2:24" ht="10.95" customHeight="1" x14ac:dyDescent="0.2">
      <c r="B150" s="15" t="s">
        <v>460</v>
      </c>
      <c r="C150" s="3" t="s">
        <v>472</v>
      </c>
      <c r="D150" s="15" t="s">
        <v>473</v>
      </c>
      <c r="E150" s="3" t="s">
        <v>25</v>
      </c>
      <c r="F150" s="3" t="s">
        <v>474</v>
      </c>
      <c r="G150" s="3" t="s">
        <v>475</v>
      </c>
      <c r="H150" s="3" t="s">
        <v>28</v>
      </c>
      <c r="I150" s="3" t="s">
        <v>52</v>
      </c>
      <c r="J150" s="3" t="s">
        <v>476</v>
      </c>
      <c r="K150" s="3" t="s">
        <v>69</v>
      </c>
      <c r="L150" s="4">
        <v>168</v>
      </c>
      <c r="M150" s="4">
        <v>168</v>
      </c>
      <c r="N150" s="4">
        <v>39</v>
      </c>
      <c r="O150" s="5"/>
      <c r="P150" s="4">
        <v>39</v>
      </c>
      <c r="Q150" s="6" cm="1">
        <f t="array" ref="Q150">_xlfn._xlws.FILTER([1]График!$R$3:$R$89,([1]График!$F$3:$F$89=F150)*([1]График!$C$3:$C$89=C150))</f>
        <v>39</v>
      </c>
      <c r="R150" s="7">
        <v>25</v>
      </c>
      <c r="S150" s="7">
        <v>5</v>
      </c>
      <c r="T150" s="6"/>
      <c r="U150" s="6"/>
      <c r="V150" s="6"/>
      <c r="W150" s="6"/>
      <c r="X150" s="6"/>
    </row>
    <row r="151" spans="2:24" ht="22.95" customHeight="1" x14ac:dyDescent="0.2">
      <c r="B151" s="15" t="s">
        <v>460</v>
      </c>
      <c r="C151" s="3" t="s">
        <v>477</v>
      </c>
      <c r="D151" s="15" t="s">
        <v>478</v>
      </c>
      <c r="E151" s="3" t="s">
        <v>136</v>
      </c>
      <c r="F151" s="3" t="s">
        <v>479</v>
      </c>
      <c r="G151" s="3" t="s">
        <v>480</v>
      </c>
      <c r="H151" s="3" t="s">
        <v>139</v>
      </c>
      <c r="I151" s="3" t="s">
        <v>140</v>
      </c>
      <c r="J151" s="3" t="s">
        <v>481</v>
      </c>
      <c r="K151" s="3" t="s">
        <v>105</v>
      </c>
      <c r="L151" s="5"/>
      <c r="M151" s="5"/>
      <c r="N151" s="4">
        <v>1</v>
      </c>
      <c r="O151" s="5"/>
      <c r="P151" s="4">
        <v>1</v>
      </c>
      <c r="Q151" s="6" cm="1">
        <f t="array" ref="Q151">_xlfn._xlws.FILTER([1]График!$R$3:$R$89,([1]График!$F$3:$F$89=F151)*([1]График!$C$3:$C$89=C151))</f>
        <v>1</v>
      </c>
      <c r="R151" s="6"/>
      <c r="S151" s="7">
        <v>1</v>
      </c>
      <c r="T151" s="6"/>
      <c r="U151" s="6"/>
      <c r="V151" s="6"/>
      <c r="W151" s="6"/>
      <c r="X151" s="6"/>
    </row>
    <row r="152" spans="2:24" ht="22.95" customHeight="1" x14ac:dyDescent="0.2">
      <c r="B152" s="15" t="s">
        <v>460</v>
      </c>
      <c r="C152" s="3" t="s">
        <v>482</v>
      </c>
      <c r="D152" s="15" t="s">
        <v>483</v>
      </c>
      <c r="E152" s="3" t="s">
        <v>25</v>
      </c>
      <c r="F152" s="3" t="s">
        <v>83</v>
      </c>
      <c r="G152" s="3" t="s">
        <v>84</v>
      </c>
      <c r="H152" s="3" t="s">
        <v>28</v>
      </c>
      <c r="I152" s="3" t="s">
        <v>85</v>
      </c>
      <c r="J152" s="3" t="s">
        <v>86</v>
      </c>
      <c r="K152" s="3" t="s">
        <v>87</v>
      </c>
      <c r="L152" s="5"/>
      <c r="M152" s="5"/>
      <c r="N152" s="4">
        <v>18</v>
      </c>
      <c r="O152" s="5"/>
      <c r="P152" s="4">
        <v>18</v>
      </c>
      <c r="Q152" s="6" cm="1">
        <f t="array" ref="Q152">_xlfn._xlws.FILTER([1]График!$R$3:$R$89,([1]График!$F$3:$F$89=F152)*([1]График!$C$3:$C$89=C152))</f>
        <v>18</v>
      </c>
      <c r="R152" s="6"/>
      <c r="S152" s="6"/>
      <c r="T152" s="6"/>
      <c r="U152" s="6"/>
      <c r="V152" s="6"/>
      <c r="W152" s="7">
        <v>18</v>
      </c>
      <c r="X152" s="6"/>
    </row>
    <row r="153" spans="2:24" ht="10.95" customHeight="1" x14ac:dyDescent="0.2">
      <c r="B153" s="15" t="s">
        <v>460</v>
      </c>
      <c r="C153" s="3" t="s">
        <v>484</v>
      </c>
      <c r="D153" s="15" t="s">
        <v>485</v>
      </c>
      <c r="E153" s="3" t="s">
        <v>486</v>
      </c>
      <c r="F153" s="3" t="s">
        <v>487</v>
      </c>
      <c r="G153" s="3" t="s">
        <v>488</v>
      </c>
      <c r="H153" s="3" t="s">
        <v>35</v>
      </c>
      <c r="I153" s="3" t="s">
        <v>78</v>
      </c>
      <c r="J153" s="3" t="s">
        <v>489</v>
      </c>
      <c r="K153" s="3" t="s">
        <v>71</v>
      </c>
      <c r="L153" s="5"/>
      <c r="M153" s="5"/>
      <c r="N153" s="4">
        <v>9</v>
      </c>
      <c r="O153" s="5"/>
      <c r="P153" s="4">
        <v>9</v>
      </c>
      <c r="Q153" s="6" cm="1">
        <f t="array" ref="Q153">_xlfn._xlws.FILTER([1]График!$R$3:$R$89,([1]График!$F$3:$F$89=F153)*([1]График!$C$3:$C$89=C153))</f>
        <v>9</v>
      </c>
      <c r="R153" s="6"/>
      <c r="S153" s="6"/>
      <c r="T153" s="6"/>
      <c r="U153" s="6"/>
      <c r="V153" s="6"/>
      <c r="W153" s="6"/>
      <c r="X153" s="7">
        <v>9</v>
      </c>
    </row>
    <row r="154" spans="2:24" ht="22.95" customHeight="1" x14ac:dyDescent="0.2">
      <c r="B154" s="15" t="s">
        <v>460</v>
      </c>
      <c r="C154" s="3" t="s">
        <v>490</v>
      </c>
      <c r="D154" s="15" t="s">
        <v>491</v>
      </c>
      <c r="E154" s="3" t="s">
        <v>25</v>
      </c>
      <c r="F154" s="3" t="s">
        <v>83</v>
      </c>
      <c r="G154" s="3" t="s">
        <v>84</v>
      </c>
      <c r="H154" s="3" t="s">
        <v>28</v>
      </c>
      <c r="I154" s="3" t="s">
        <v>85</v>
      </c>
      <c r="J154" s="3" t="s">
        <v>86</v>
      </c>
      <c r="K154" s="3" t="s">
        <v>87</v>
      </c>
      <c r="L154" s="5"/>
      <c r="M154" s="5"/>
      <c r="N154" s="4">
        <v>18</v>
      </c>
      <c r="O154" s="5"/>
      <c r="P154" s="4">
        <v>18</v>
      </c>
      <c r="Q154" s="6" cm="1">
        <f t="array" ref="Q154">_xlfn._xlws.FILTER([1]График!$R$3:$R$89,([1]График!$F$3:$F$89=F154)*([1]График!$C$3:$C$89=C154))</f>
        <v>18</v>
      </c>
      <c r="R154" s="6"/>
      <c r="S154" s="7">
        <v>18</v>
      </c>
      <c r="T154" s="6"/>
      <c r="U154" s="6"/>
      <c r="V154" s="6"/>
      <c r="W154" s="6"/>
      <c r="X154" s="6"/>
    </row>
    <row r="155" spans="2:24" ht="22.95" customHeight="1" x14ac:dyDescent="0.2">
      <c r="B155" s="15" t="s">
        <v>460</v>
      </c>
      <c r="C155" s="3" t="s">
        <v>492</v>
      </c>
      <c r="D155" s="15" t="s">
        <v>493</v>
      </c>
      <c r="E155" s="3" t="s">
        <v>25</v>
      </c>
      <c r="F155" s="3" t="s">
        <v>83</v>
      </c>
      <c r="G155" s="3" t="s">
        <v>84</v>
      </c>
      <c r="H155" s="3" t="s">
        <v>28</v>
      </c>
      <c r="I155" s="3" t="s">
        <v>85</v>
      </c>
      <c r="J155" s="3" t="s">
        <v>86</v>
      </c>
      <c r="K155" s="3" t="s">
        <v>87</v>
      </c>
      <c r="L155" s="5"/>
      <c r="M155" s="5"/>
      <c r="N155" s="4">
        <v>18</v>
      </c>
      <c r="O155" s="5"/>
      <c r="P155" s="4">
        <v>18</v>
      </c>
      <c r="Q155" s="6" cm="1">
        <f t="array" ref="Q155">_xlfn._xlws.FILTER([1]График!$R$3:$R$89,([1]График!$F$3:$F$89=F155)*([1]График!$C$3:$C$89=C155))</f>
        <v>18</v>
      </c>
      <c r="R155" s="6"/>
      <c r="S155" s="7">
        <v>1</v>
      </c>
      <c r="T155" s="7">
        <v>17</v>
      </c>
      <c r="U155" s="6"/>
      <c r="V155" s="6"/>
      <c r="W155" s="6"/>
      <c r="X155" s="6"/>
    </row>
    <row r="156" spans="2:24" ht="22.95" customHeight="1" x14ac:dyDescent="0.2">
      <c r="B156" s="15" t="s">
        <v>460</v>
      </c>
      <c r="C156" s="3" t="s">
        <v>494</v>
      </c>
      <c r="D156" s="15" t="s">
        <v>495</v>
      </c>
      <c r="E156" s="3" t="s">
        <v>25</v>
      </c>
      <c r="F156" s="3" t="s">
        <v>83</v>
      </c>
      <c r="G156" s="3" t="s">
        <v>84</v>
      </c>
      <c r="H156" s="3" t="s">
        <v>28</v>
      </c>
      <c r="I156" s="3" t="s">
        <v>85</v>
      </c>
      <c r="J156" s="3" t="s">
        <v>86</v>
      </c>
      <c r="K156" s="3" t="s">
        <v>87</v>
      </c>
      <c r="L156" s="5"/>
      <c r="M156" s="5"/>
      <c r="N156" s="4">
        <v>60</v>
      </c>
      <c r="O156" s="5"/>
      <c r="P156" s="4">
        <v>60</v>
      </c>
      <c r="Q156" s="6" cm="1">
        <f t="array" ref="Q156">_xlfn._xlws.FILTER([1]График!$R$3:$R$89,([1]График!$F$3:$F$89=F156)*([1]График!$C$3:$C$89=C156))</f>
        <v>60</v>
      </c>
      <c r="R156" s="6"/>
      <c r="S156" s="6"/>
      <c r="T156" s="7">
        <v>8</v>
      </c>
      <c r="U156" s="7">
        <v>25</v>
      </c>
      <c r="V156" s="7">
        <v>25</v>
      </c>
      <c r="W156" s="7">
        <v>2</v>
      </c>
      <c r="X156" s="6"/>
    </row>
    <row r="157" spans="2:24" ht="10.95" customHeight="1" x14ac:dyDescent="0.2">
      <c r="B157" s="15" t="s">
        <v>460</v>
      </c>
      <c r="C157" s="3" t="s">
        <v>496</v>
      </c>
      <c r="D157" s="15" t="s">
        <v>497</v>
      </c>
      <c r="E157" s="3" t="s">
        <v>155</v>
      </c>
      <c r="F157" s="3" t="s">
        <v>498</v>
      </c>
      <c r="G157" s="3" t="s">
        <v>499</v>
      </c>
      <c r="H157" s="3" t="s">
        <v>44</v>
      </c>
      <c r="I157" s="3" t="s">
        <v>158</v>
      </c>
      <c r="J157" s="3" t="s">
        <v>500</v>
      </c>
      <c r="K157" s="3" t="s">
        <v>87</v>
      </c>
      <c r="L157" s="5"/>
      <c r="M157" s="5"/>
      <c r="N157" s="4">
        <v>3</v>
      </c>
      <c r="O157" s="5"/>
      <c r="P157" s="4">
        <v>3</v>
      </c>
      <c r="Q157" s="6" cm="1">
        <f t="array" ref="Q157">_xlfn._xlws.FILTER([1]График!$R$3:$R$89,([1]График!$F$3:$F$89=F157)*([1]График!$C$3:$C$89=C157))</f>
        <v>3</v>
      </c>
      <c r="R157" s="6"/>
      <c r="S157" s="6"/>
      <c r="T157" s="6"/>
      <c r="U157" s="6"/>
      <c r="V157" s="6"/>
      <c r="W157" s="7">
        <v>3</v>
      </c>
      <c r="X157" s="6"/>
    </row>
    <row r="158" spans="2:24" ht="10.95" customHeight="1" x14ac:dyDescent="0.2">
      <c r="B158" s="15" t="s">
        <v>460</v>
      </c>
      <c r="C158" s="3" t="s">
        <v>501</v>
      </c>
      <c r="D158" s="15" t="s">
        <v>502</v>
      </c>
      <c r="E158" s="3" t="s">
        <v>486</v>
      </c>
      <c r="F158" s="3" t="s">
        <v>487</v>
      </c>
      <c r="G158" s="3" t="s">
        <v>488</v>
      </c>
      <c r="H158" s="3" t="s">
        <v>35</v>
      </c>
      <c r="I158" s="3" t="s">
        <v>78</v>
      </c>
      <c r="J158" s="3" t="s">
        <v>489</v>
      </c>
      <c r="K158" s="3" t="s">
        <v>71</v>
      </c>
      <c r="L158" s="5"/>
      <c r="M158" s="5"/>
      <c r="N158" s="4">
        <v>8</v>
      </c>
      <c r="O158" s="5"/>
      <c r="P158" s="4">
        <v>8</v>
      </c>
      <c r="Q158" s="6" cm="1">
        <f t="array" ref="Q158">_xlfn._xlws.FILTER([1]График!$R$3:$R$89,([1]График!$F$3:$F$89=F158)*([1]График!$C$3:$C$89=C158))</f>
        <v>8</v>
      </c>
      <c r="R158" s="6"/>
      <c r="S158" s="6"/>
      <c r="T158" s="6"/>
      <c r="U158" s="6"/>
      <c r="V158" s="6"/>
      <c r="W158" s="7">
        <v>2</v>
      </c>
      <c r="X158" s="7">
        <v>6</v>
      </c>
    </row>
    <row r="159" spans="2:24" ht="22.95" customHeight="1" x14ac:dyDescent="0.2">
      <c r="B159" s="15" t="s">
        <v>460</v>
      </c>
      <c r="C159" s="3" t="s">
        <v>503</v>
      </c>
      <c r="D159" s="15" t="s">
        <v>504</v>
      </c>
      <c r="E159" s="3" t="s">
        <v>463</v>
      </c>
      <c r="F159" s="3" t="s">
        <v>464</v>
      </c>
      <c r="G159" s="3" t="s">
        <v>465</v>
      </c>
      <c r="H159" s="3" t="s">
        <v>44</v>
      </c>
      <c r="I159" s="3" t="s">
        <v>158</v>
      </c>
      <c r="J159" s="3" t="s">
        <v>466</v>
      </c>
      <c r="K159" s="3" t="s">
        <v>71</v>
      </c>
      <c r="L159" s="5"/>
      <c r="M159" s="5"/>
      <c r="N159" s="4">
        <v>3</v>
      </c>
      <c r="O159" s="5"/>
      <c r="P159" s="4">
        <v>3</v>
      </c>
      <c r="Q159" s="6" cm="1">
        <f t="array" ref="Q159">_xlfn._xlws.FILTER([1]График!$R$3:$R$89,([1]График!$F$3:$F$89=F159)*([1]График!$C$3:$C$89=C159))</f>
        <v>3</v>
      </c>
      <c r="R159" s="6"/>
      <c r="S159" s="6"/>
      <c r="T159" s="6"/>
      <c r="U159" s="6"/>
      <c r="V159" s="6"/>
      <c r="W159" s="6"/>
      <c r="X159" s="7">
        <v>3</v>
      </c>
    </row>
    <row r="160" spans="2:24" ht="13.05" customHeight="1" x14ac:dyDescent="0.2">
      <c r="B160" s="16" t="s">
        <v>505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3">
        <v>15150</v>
      </c>
      <c r="M160" s="14">
        <v>352</v>
      </c>
      <c r="N160" s="13">
        <v>12374</v>
      </c>
      <c r="O160" s="13">
        <v>2782</v>
      </c>
      <c r="P160" s="13">
        <v>9592</v>
      </c>
      <c r="Q160" s="6" t="e" cm="1" vm="1">
        <f t="array" ref="Q160">_xlfn._xlws.FILTER([1]График!$R$3:$R$89,([1]График!$F$3:$F$89=F160)*([1]График!$C$3:$C$89=C160))</f>
        <v>#VALUE!</v>
      </c>
      <c r="R160" s="13">
        <v>1859</v>
      </c>
      <c r="S160" s="13">
        <v>1242</v>
      </c>
      <c r="T160" s="14">
        <v>977</v>
      </c>
      <c r="U160" s="14">
        <v>585</v>
      </c>
      <c r="V160" s="14">
        <v>25</v>
      </c>
      <c r="W160" s="14">
        <v>25</v>
      </c>
      <c r="X160" s="14">
        <v>21</v>
      </c>
    </row>
  </sheetData>
  <autoFilter ref="B2:X160" xr:uid="{00000000-0001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2026-03-24T06:55:09Z</dcterms:modified>
</cp:coreProperties>
</file>